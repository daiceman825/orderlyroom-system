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6" sheetId="1" state="visible" r:id="rId2"/>
    <sheet name="Holidays" sheetId="2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1" authorId="0">
      <text>
        <r>
          <rPr>
            <sz val="10"/>
            <rFont val="Arial"/>
            <family val="2"/>
            <charset val="1"/>
          </rPr>
          <t xml:space="preserve">Hyman, James A PFC:
</t>
        </r>
        <r>
          <rPr>
            <sz val="9"/>
            <color rgb="FF000000"/>
            <rFont val="Tahoma"/>
            <family val="2"/>
            <charset val="1"/>
          </rPr>
          <t xml:space="preserve">
Please update this table as new dates are released.</t>
        </r>
      </text>
    </comment>
  </commentList>
</comments>
</file>

<file path=xl/sharedStrings.xml><?xml version="1.0" encoding="utf-8"?>
<sst xmlns="http://schemas.openxmlformats.org/spreadsheetml/2006/main" count="199" uniqueCount="54">
  <si>
    <t xml:space="preserve">1SG DUTY</t>
  </si>
  <si>
    <t xml:space="preserve">SFC-SFC</t>
  </si>
  <si>
    <t xml:space="preserve">x</t>
  </si>
  <si>
    <t xml:space="preserve">SDO</t>
  </si>
  <si>
    <t xml:space="preserve">CW2 - 03 ASSIGNED TO DUTY</t>
  </si>
  <si>
    <t xml:space="preserve">CPT-SFC</t>
  </si>
  <si>
    <t xml:space="preserve">SDNCO </t>
  </si>
  <si>
    <t xml:space="preserve">E6-E7 ASSIGNED TO DUTY</t>
  </si>
  <si>
    <t xml:space="preserve">SFC-SSG</t>
  </si>
  <si>
    <t xml:space="preserve">SD RUNNER </t>
  </si>
  <si>
    <t xml:space="preserve">E1-E5 ASSIGNED TO DUTY</t>
  </si>
  <si>
    <t xml:space="preserve">CCOE </t>
  </si>
  <si>
    <t xml:space="preserve">B Co CQ </t>
  </si>
  <si>
    <t xml:space="preserve">E6-E7 CTC Qualified</t>
  </si>
  <si>
    <t xml:space="preserve">DUTY ROSTER</t>
  </si>
  <si>
    <t xml:space="preserve">NATURE OF DUTY</t>
  </si>
  <si>
    <t xml:space="preserve">ORGANIZATION</t>
  </si>
  <si>
    <t xml:space="preserve">FROM (DATE)</t>
  </si>
  <si>
    <t xml:space="preserve">TO (DATE)</t>
  </si>
  <si>
    <t xml:space="preserve">DUTY</t>
  </si>
  <si>
    <t xml:space="preserve">Generic Army Unit</t>
  </si>
  <si>
    <t xml:space="preserve">RANK</t>
  </si>
  <si>
    <t xml:space="preserve">NAME</t>
  </si>
  <si>
    <t xml:space="preserve">MONTH </t>
  </si>
  <si>
    <t xml:space="preserve">OCT</t>
  </si>
  <si>
    <t xml:space="preserve">DAYS</t>
  </si>
  <si>
    <t xml:space="preserve">CPT</t>
  </si>
  <si>
    <t xml:space="preserve">DOE, JANE</t>
  </si>
  <si>
    <t xml:space="preserve">SFC</t>
  </si>
  <si>
    <t xml:space="preserve">SFC </t>
  </si>
  <si>
    <t xml:space="preserve">SSG</t>
  </si>
  <si>
    <t xml:space="preserve">SGT</t>
  </si>
  <si>
    <t xml:space="preserve">SPC</t>
  </si>
  <si>
    <t xml:space="preserve">PFC</t>
  </si>
  <si>
    <t xml:space="preserve">PV2</t>
  </si>
  <si>
    <t xml:space="preserve">LEGEND</t>
  </si>
  <si>
    <t xml:space="preserve">(#) Pulled duty on this Day
(D) Had other duty this day
(I) Was instructing on this day
( Exempt ) Exempt
(A) Was Absent this day [ Leave / Pass ]
(CD) Course Development
(T) Training or Class
Counter to -1 on Weekends (gold)</t>
  </si>
  <si>
    <t xml:space="preserve">HOLIDAYS</t>
  </si>
  <si>
    <t xml:space="preserve">DATE</t>
  </si>
  <si>
    <t xml:space="preserve">REASON</t>
  </si>
  <si>
    <t xml:space="preserve">type</t>
  </si>
  <si>
    <t xml:space="preserve">Labor Day</t>
  </si>
  <si>
    <t xml:space="preserve">DONSA</t>
  </si>
  <si>
    <t xml:space="preserve">Public Holiday</t>
  </si>
  <si>
    <t xml:space="preserve">Columbus Day</t>
  </si>
  <si>
    <t xml:space="preserve">Veterans Day</t>
  </si>
  <si>
    <t xml:space="preserve">Thanksgiving Day</t>
  </si>
  <si>
    <t xml:space="preserve">Christmas Day</t>
  </si>
  <si>
    <t xml:space="preserve">New Years Day</t>
  </si>
  <si>
    <t xml:space="preserve">MLK Day</t>
  </si>
  <si>
    <t xml:space="preserve">Washington's Birthday</t>
  </si>
  <si>
    <t xml:space="preserve">Spring Holiday</t>
  </si>
  <si>
    <t xml:space="preserve">Memorial Day</t>
  </si>
  <si>
    <t xml:space="preserve">Independence Day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</si>
</sst>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d\-mmm\-yy"/>
    <numFmt numFmtId="166" formatCode="General"/>
    <numFmt numFmtId="167" formatCode="mm/dd/yy"/>
    <numFmt numFmtId="168" formatCode="d"/>
    <numFmt numFmtId="169" formatCode="[$-F800]dddd&quot;, &quot;mmmm\ dd&quot;, &quot;yyyy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2"/>
      <color rgb="FF000000"/>
      <name val="Calibri"/>
      <family val="2"/>
      <charset val="1"/>
    </font>
    <font>
      <b val="true"/>
      <sz val="11"/>
      <color rgb="FFE6303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11"/>
      <color rgb="FF2F5597"/>
      <name val="Calibri"/>
      <family val="2"/>
      <charset val="1"/>
    </font>
    <font>
      <b val="true"/>
      <sz val="11"/>
      <color rgb="FF000000"/>
      <name val="Calibri"/>
      <family val="2"/>
    </font>
    <font>
      <b val="true"/>
      <sz val="11"/>
      <name val="Calibri"/>
      <family val="2"/>
      <charset val="1"/>
    </font>
    <font>
      <b val="true"/>
      <sz val="14"/>
      <color rgb="FF000000"/>
      <name val="Calibri"/>
      <family val="2"/>
      <charset val="1"/>
    </font>
    <font>
      <sz val="18"/>
      <color rgb="FF000000"/>
      <name val="Calibri"/>
      <family val="2"/>
      <charset val="1"/>
    </font>
    <font>
      <b val="true"/>
      <sz val="18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name val="Calibri"/>
      <family val="2"/>
      <charset val="1"/>
    </font>
    <font>
      <sz val="12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FF0000"/>
      <name val="Calibri"/>
      <family val="2"/>
      <charset val="1"/>
    </font>
    <font>
      <sz val="9"/>
      <color rgb="FF000000"/>
      <name val="Tahoma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00B0F0"/>
        <bgColor rgb="FF33CCCC"/>
      </patternFill>
    </fill>
    <fill>
      <patternFill patternType="solid">
        <fgColor rgb="FF000000"/>
        <bgColor rgb="FF181717"/>
      </patternFill>
    </fill>
    <fill>
      <patternFill patternType="solid">
        <fgColor rgb="FF00B050"/>
        <bgColor rgb="FF008080"/>
      </patternFill>
    </fill>
    <fill>
      <patternFill patternType="solid">
        <fgColor rgb="FF181717"/>
        <bgColor rgb="FF000000"/>
      </patternFill>
    </fill>
    <fill>
      <patternFill patternType="solid">
        <fgColor rgb="FFFF0000"/>
        <bgColor rgb="FFE63030"/>
      </patternFill>
    </fill>
  </fills>
  <borders count="36">
    <border diagonalUp="false" diagonalDown="false">
      <left/>
      <right/>
      <top/>
      <bottom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5" fillId="0" borderId="0" xfId="0" applyFont="true" applyBorder="true" applyAlignment="true" applyProtection="true">
      <alignment horizontal="general" vertical="top" textRotation="0" wrapText="false" indent="0" shrinkToFit="false"/>
      <protection locked="true" hidden="false"/>
    </xf>
    <xf numFmtId="164" fontId="4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2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1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1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0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1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9" fillId="0" borderId="1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2" borderId="1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2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0" fillId="2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1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2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2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24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12" fillId="0" borderId="2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12" fillId="0" borderId="2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0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4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4" fillId="0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4" fillId="0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2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2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2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6" fillId="0" borderId="30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6" fillId="2" borderId="1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5" fillId="0" borderId="1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1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3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2" borderId="3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0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2" borderId="3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3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top" textRotation="0" wrapText="false" indent="0" shrinkToFit="false"/>
      <protection locked="true" hidden="false"/>
    </xf>
    <xf numFmtId="16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3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4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5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19" fillId="6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7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20" fillId="6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border diagonalUp="false" diagonalDown="false">
        <left style="thin"/>
        <right/>
        <top/>
        <bottom/>
        <diagonal/>
      </border>
    </dxf>
    <dxf>
      <fill>
        <patternFill>
          <bgColor rgb="FF8FAADC"/>
        </patternFill>
      </fill>
    </dxf>
    <dxf>
      <fill>
        <patternFill>
          <bgColor rgb="FF2E75B6"/>
        </patternFill>
      </fill>
    </dxf>
    <dxf>
      <fill>
        <patternFill>
          <bgColor rgb="FFAE2C2C"/>
        </patternFill>
      </fill>
    </dxf>
    <dxf>
      <fill>
        <patternFill>
          <bgColor rgb="FF7DBE32"/>
        </patternFill>
      </fill>
    </dxf>
    <dxf>
      <font>
        <b val="1"/>
        <i val="0"/>
        <color rgb="FFF2F2F2"/>
      </font>
      <fill>
        <patternFill>
          <bgColor rgb="FF461E64"/>
        </patternFill>
      </fill>
    </dxf>
    <dxf>
      <fill>
        <patternFill>
          <bgColor rgb="FFFF9933"/>
        </patternFill>
      </fill>
    </dxf>
    <dxf>
      <font>
        <color rgb="FFFFFFFF"/>
      </font>
      <fill>
        <patternFill>
          <bgColor rgb="FF7F7F7F"/>
        </patternFill>
      </fill>
      <border diagonalUp="false" diagonalDown="false">
        <left style="thin"/>
        <right/>
        <top/>
        <bottom/>
        <diagon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8FAADC"/>
      <rgbColor rgb="FFE63030"/>
      <rgbColor rgb="FFF2F2F2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2E75B6"/>
      <rgbColor rgb="FF33CCCC"/>
      <rgbColor rgb="FF7DBE32"/>
      <rgbColor rgb="FFFFCC00"/>
      <rgbColor rgb="FFFF9933"/>
      <rgbColor rgb="FFFF6600"/>
      <rgbColor rgb="FF666699"/>
      <rgbColor rgb="FF969696"/>
      <rgbColor rgb="FF003366"/>
      <rgbColor rgb="FF00B050"/>
      <rgbColor rgb="FF181717"/>
      <rgbColor rgb="FF333300"/>
      <rgbColor rgb="FFAE2C2C"/>
      <rgbColor rgb="FF993366"/>
      <rgbColor rgb="FF2F5597"/>
      <rgbColor rgb="FF461E64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T96"/>
  <sheetViews>
    <sheetView showFormulas="false" showGridLines="false" showRowColHeaders="true" showZeros="true" rightToLeft="false" tabSelected="true" showOutlineSymbols="true" defaultGridColor="true" view="normal" topLeftCell="A1" colorId="64" zoomScale="60" zoomScaleNormal="60" zoomScalePageLayoutView="100" workbookViewId="0">
      <selection pane="topLeft" activeCell="H21" activeCellId="0" sqref="H21"/>
    </sheetView>
  </sheetViews>
  <sheetFormatPr defaultColWidth="9.109375" defaultRowHeight="14.25" zeroHeight="false" outlineLevelRow="0" outlineLevelCol="0"/>
  <cols>
    <col collapsed="false" customWidth="true" hidden="false" outlineLevel="0" max="1" min="1" style="1" width="3.67"/>
    <col collapsed="false" customWidth="true" hidden="false" outlineLevel="0" max="2" min="2" style="1" width="5.66"/>
    <col collapsed="false" customWidth="true" hidden="false" outlineLevel="0" max="3" min="3" style="1" width="12.33"/>
    <col collapsed="false" customWidth="true" hidden="false" outlineLevel="0" max="4" min="4" style="1" width="40.44"/>
    <col collapsed="false" customWidth="true" hidden="false" outlineLevel="0" max="5" min="5" style="1" width="13.67"/>
    <col collapsed="false" customWidth="true" hidden="false" outlineLevel="0" max="71" min="6" style="1" width="4.67"/>
  </cols>
  <sheetData>
    <row r="1" customFormat="false" ht="9.75" hidden="false" customHeight="true" outlineLevel="0" collapsed="false">
      <c r="BJ1" s="2"/>
      <c r="BK1" s="2"/>
      <c r="BL1" s="2"/>
      <c r="BM1" s="2"/>
      <c r="BN1" s="2"/>
      <c r="BO1" s="2"/>
      <c r="BP1" s="2"/>
      <c r="BQ1" s="2"/>
    </row>
    <row r="2" customFormat="false" ht="9.75" hidden="false" customHeight="true" outlineLevel="0" collapsed="false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5"/>
    </row>
    <row r="3" customFormat="false" ht="9.75" hidden="false" customHeight="true" outlineLevel="0" collapsed="false">
      <c r="A3" s="6"/>
      <c r="B3" s="7"/>
      <c r="C3" s="8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6"/>
      <c r="BQ3" s="6"/>
      <c r="BR3" s="10"/>
      <c r="BS3" s="11"/>
    </row>
    <row r="4" customFormat="false" ht="9.75" hidden="true" customHeight="true" outlineLevel="0" collapsed="false"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R4" s="13"/>
      <c r="BS4" s="14"/>
    </row>
    <row r="5" customFormat="false" ht="15" hidden="false" customHeight="false" outlineLevel="0" collapsed="false">
      <c r="B5" s="15"/>
      <c r="C5" s="16" t="s">
        <v>0</v>
      </c>
      <c r="D5" s="17"/>
      <c r="E5" s="18" t="s">
        <v>1</v>
      </c>
      <c r="F5" s="19"/>
      <c r="G5" s="19"/>
      <c r="H5" s="20"/>
      <c r="I5" s="20"/>
      <c r="J5" s="20"/>
      <c r="K5" s="20"/>
      <c r="L5" s="21"/>
      <c r="M5" s="21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 t="s">
        <v>2</v>
      </c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2"/>
      <c r="BQ5" s="22"/>
      <c r="BR5" s="13"/>
      <c r="BS5" s="14"/>
    </row>
    <row r="6" customFormat="false" ht="13.8" hidden="false" customHeight="false" outlineLevel="0" collapsed="false">
      <c r="B6" s="15"/>
      <c r="C6" s="23" t="s">
        <v>3</v>
      </c>
      <c r="D6" s="24" t="s">
        <v>4</v>
      </c>
      <c r="E6" s="25" t="s">
        <v>5</v>
      </c>
      <c r="F6" s="26"/>
      <c r="G6" s="26"/>
      <c r="H6" s="27"/>
      <c r="I6" s="27"/>
      <c r="J6" s="27"/>
      <c r="K6" s="27"/>
      <c r="L6" s="28"/>
      <c r="M6" s="28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9"/>
      <c r="AA6" s="29"/>
      <c r="AB6" s="29"/>
      <c r="AC6" s="29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30"/>
      <c r="BQ6" s="30"/>
      <c r="BR6" s="13"/>
      <c r="BS6" s="14"/>
    </row>
    <row r="7" customFormat="false" ht="13.8" hidden="false" customHeight="false" outlineLevel="0" collapsed="false">
      <c r="B7" s="15"/>
      <c r="C7" s="23" t="s">
        <v>6</v>
      </c>
      <c r="D7" s="24" t="s">
        <v>7</v>
      </c>
      <c r="E7" s="25" t="s">
        <v>8</v>
      </c>
      <c r="F7" s="26"/>
      <c r="G7" s="26"/>
      <c r="H7" s="27"/>
      <c r="I7" s="27"/>
      <c r="J7" s="27"/>
      <c r="K7" s="27"/>
      <c r="L7" s="28"/>
      <c r="M7" s="28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9"/>
      <c r="AA7" s="29"/>
      <c r="AB7" s="29" t="s">
        <v>2</v>
      </c>
      <c r="AC7" s="29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30"/>
      <c r="BQ7" s="30"/>
      <c r="BR7" s="13"/>
      <c r="BS7" s="14"/>
    </row>
    <row r="8" customFormat="false" ht="13.8" hidden="false" customHeight="false" outlineLevel="0" collapsed="false">
      <c r="B8" s="31"/>
      <c r="C8" s="32" t="s">
        <v>9</v>
      </c>
      <c r="D8" s="24" t="s">
        <v>10</v>
      </c>
      <c r="E8" s="25" t="str">
        <f aca="false">"SGT-" &amp; LOOKUP(2,1/(NOT(ISBLANK(C15:C199))),C15:C199)</f>
        <v>SGT-PV2</v>
      </c>
      <c r="F8" s="26"/>
      <c r="G8" s="26"/>
      <c r="H8" s="27"/>
      <c r="I8" s="27"/>
      <c r="J8" s="27"/>
      <c r="K8" s="27"/>
      <c r="L8" s="28"/>
      <c r="M8" s="28"/>
      <c r="N8" s="27"/>
      <c r="O8" s="27"/>
      <c r="P8" s="27" t="s">
        <v>2</v>
      </c>
      <c r="Q8" s="27"/>
      <c r="R8" s="27"/>
      <c r="S8" s="27"/>
      <c r="T8" s="27"/>
      <c r="U8" s="27"/>
      <c r="V8" s="27"/>
      <c r="W8" s="27"/>
      <c r="X8" s="27"/>
      <c r="Y8" s="27"/>
      <c r="Z8" s="29"/>
      <c r="AA8" s="29"/>
      <c r="AB8" s="29"/>
      <c r="AC8" s="29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30"/>
      <c r="BQ8" s="30"/>
      <c r="BR8" s="13"/>
      <c r="BS8" s="14"/>
    </row>
    <row r="9" customFormat="false" ht="13.8" hidden="false" customHeight="false" outlineLevel="0" collapsed="false">
      <c r="B9" s="31"/>
      <c r="C9" s="32" t="s">
        <v>11</v>
      </c>
      <c r="D9" s="24" t="s">
        <v>7</v>
      </c>
      <c r="E9" s="25" t="s">
        <v>8</v>
      </c>
      <c r="F9" s="26"/>
      <c r="G9" s="26"/>
      <c r="H9" s="27"/>
      <c r="I9" s="27"/>
      <c r="J9" s="27"/>
      <c r="K9" s="27"/>
      <c r="L9" s="28"/>
      <c r="M9" s="28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9"/>
      <c r="AA9" s="29"/>
      <c r="AB9" s="29"/>
      <c r="AC9" s="29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30"/>
      <c r="BQ9" s="30"/>
      <c r="BR9" s="13"/>
      <c r="BS9" s="14"/>
    </row>
    <row r="10" customFormat="false" ht="13.8" hidden="false" customHeight="false" outlineLevel="0" collapsed="false">
      <c r="B10" s="31"/>
      <c r="C10" s="33" t="s">
        <v>12</v>
      </c>
      <c r="D10" s="34" t="s">
        <v>13</v>
      </c>
      <c r="E10" s="18" t="s">
        <v>8</v>
      </c>
      <c r="F10" s="35"/>
      <c r="G10" s="35"/>
      <c r="H10" s="36"/>
      <c r="I10" s="36"/>
      <c r="J10" s="36"/>
      <c r="K10" s="36"/>
      <c r="L10" s="37"/>
      <c r="M10" s="37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8"/>
      <c r="AA10" s="38"/>
      <c r="AB10" s="38"/>
      <c r="AC10" s="38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9"/>
      <c r="BQ10" s="39"/>
      <c r="BR10" s="13"/>
      <c r="BS10" s="14"/>
    </row>
    <row r="11" customFormat="false" ht="18.75" hidden="false" customHeight="true" outlineLevel="0" collapsed="false">
      <c r="B11" s="40"/>
      <c r="C11" s="41" t="s">
        <v>14</v>
      </c>
      <c r="D11" s="41"/>
      <c r="E11" s="41"/>
      <c r="F11" s="42" t="s">
        <v>15</v>
      </c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 t="s">
        <v>16</v>
      </c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 t="s">
        <v>17</v>
      </c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 t="s">
        <v>18</v>
      </c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13"/>
      <c r="BS11" s="14"/>
    </row>
    <row r="12" customFormat="false" ht="19.5" hidden="false" customHeight="true" outlineLevel="0" collapsed="false">
      <c r="B12" s="40"/>
      <c r="C12" s="41"/>
      <c r="D12" s="41"/>
      <c r="E12" s="41"/>
      <c r="F12" s="43" t="s">
        <v>19</v>
      </c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 t="s">
        <v>20</v>
      </c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4" t="n">
        <f aca="false">F14</f>
        <v>44835</v>
      </c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 t="n">
        <f aca="false">BP14</f>
        <v>44866</v>
      </c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13"/>
      <c r="BS12" s="14"/>
    </row>
    <row r="13" customFormat="false" ht="24" hidden="false" customHeight="false" outlineLevel="0" collapsed="false">
      <c r="A13" s="45"/>
      <c r="B13" s="46"/>
      <c r="C13" s="47" t="s">
        <v>21</v>
      </c>
      <c r="D13" s="48" t="s">
        <v>22</v>
      </c>
      <c r="E13" s="41" t="s">
        <v>23</v>
      </c>
      <c r="F13" s="49" t="s">
        <v>24</v>
      </c>
      <c r="G13" s="49"/>
      <c r="H13" s="50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2"/>
      <c r="AK13" s="52"/>
      <c r="AL13" s="52"/>
      <c r="AM13" s="52"/>
      <c r="AN13" s="53" t="str">
        <f aca="false">IF(DAY(AN14)&lt;DAY(AL14),TEXT(DATE(1999,MONTH(DATEVALUE($F$13 &amp; "1"))+1,24),"mmm"),"")</f>
        <v/>
      </c>
      <c r="AO13" s="53"/>
      <c r="AP13" s="53" t="str">
        <f aca="false">IF(DAY(AP14)&lt;DAY(AN14),TEXT(DATE(1999,MONTH(DATEVALUE($F$13 &amp; "1"))+1,24),"mmm"),"")</f>
        <v/>
      </c>
      <c r="AQ13" s="53"/>
      <c r="AR13" s="53" t="str">
        <f aca="false">IF(DAY(AR14)&lt;DAY(AP14),TEXT(DATE(1999,MONTH(DATEVALUE($F$13 &amp; "1"))+1,24),"mmm"),"")</f>
        <v/>
      </c>
      <c r="AS13" s="53"/>
      <c r="AT13" s="53" t="str">
        <f aca="false">IF(DAY(AT14)&lt;DAY(AR14),TEXT(DATE(1999,MONTH(DATEVALUE($F$13 &amp; "1"))+1,24),"mmm"),"")</f>
        <v/>
      </c>
      <c r="AU13" s="53"/>
      <c r="AV13" s="53" t="str">
        <f aca="false">IF(DAY(AV14)&lt;DAY(AT14),TEXT(DATE(1999,MONTH(DATEVALUE($F$13 &amp; "1"))+1,24),"mmm"),"")</f>
        <v/>
      </c>
      <c r="AW13" s="53"/>
      <c r="AX13" s="53" t="str">
        <f aca="false">IF(DAY(AX14)&lt;DAY(AV14),TEXT(DATE(1999,MONTH(DATEVALUE($F$13 &amp; "1"))+1,24),"mmm"),"")</f>
        <v/>
      </c>
      <c r="AY13" s="53"/>
      <c r="AZ13" s="53" t="str">
        <f aca="false">IF(DAY(AZ14)&lt;DAY(AX14),TEXT(DATE(1999,MONTH(DATEVALUE($F$13 &amp; "1"))+1,24),"mmm"),"")</f>
        <v/>
      </c>
      <c r="BA13" s="53"/>
      <c r="BB13" s="54" t="str">
        <f aca="false">IF(DAY(BB14)&lt;DAY(AZ14),TEXT(DATE(1999,MONTH(DATEVALUE($F$13 &amp; "1"))+1,24),"mmm"),"")</f>
        <v/>
      </c>
      <c r="BC13" s="54"/>
      <c r="BD13" s="54" t="str">
        <f aca="false">IF(DAY(BD14)&lt;DAY(BB14),TEXT(DATE(1999,MONTH(DATEVALUE($F$13 &amp; "1"))+1,24),"mmm"),"")</f>
        <v/>
      </c>
      <c r="BE13" s="54"/>
      <c r="BF13" s="54" t="str">
        <f aca="false">IF(DAY(BF14)&lt;DAY(BD14),TEXT(DATE(1999,MONTH(DATEVALUE($F$13 &amp; "1"))+1,24),"mmm"),"")</f>
        <v/>
      </c>
      <c r="BG13" s="54"/>
      <c r="BH13" s="54" t="str">
        <f aca="false">IF(DAY(BH14)&lt;DAY(BF14),TEXT(DATE(1999,MONTH(DATEVALUE($F$13 &amp; "1"))+1,24),"mmm"),"")</f>
        <v/>
      </c>
      <c r="BI13" s="54"/>
      <c r="BJ13" s="54" t="str">
        <f aca="false">IF(DAY(BJ14)&lt;DAY(BH14),TEXT(DATE(1999,MONTH(DATEVALUE($F$13 &amp; "1"))+1,24),"mmm"),"")</f>
        <v/>
      </c>
      <c r="BK13" s="54"/>
      <c r="BL13" s="54" t="str">
        <f aca="false">IF(DAY(BL14)&lt;DAY(BJ14),TEXT(DATE(1999,MONTH(DATEVALUE($F$13 &amp; "1"))+1,24),"mmm"),"")</f>
        <v/>
      </c>
      <c r="BM13" s="54"/>
      <c r="BN13" s="54" t="str">
        <f aca="false">IF(DAY(BN14)&lt;DAY(BL14),TEXT(DATE(1999,MONTH(DATEVALUE($F$13 &amp; "1"))+1,24),"mmm"),"")</f>
        <v/>
      </c>
      <c r="BO13" s="54"/>
      <c r="BP13" s="55" t="e">
        <f aca="false">IF(DAY(BP14)&lt;DAY(BN14),TEXT(DATE(1999,MONTH(DATEVALUE($F$13 &amp; "1"))+1,24),"mmm"),"")</f>
        <v>#VALUE!</v>
      </c>
      <c r="BQ13" s="55"/>
      <c r="BR13" s="56"/>
      <c r="BS13" s="57"/>
      <c r="BT13" s="58"/>
    </row>
    <row r="14" customFormat="false" ht="15" hidden="false" customHeight="false" outlineLevel="0" collapsed="false">
      <c r="B14" s="40"/>
      <c r="C14" s="47"/>
      <c r="D14" s="48"/>
      <c r="E14" s="59" t="s">
        <v>25</v>
      </c>
      <c r="F14" s="60" t="n">
        <f aca="false">DATEVALUE(F13&amp;" 1 2022")</f>
        <v>44835</v>
      </c>
      <c r="G14" s="60"/>
      <c r="H14" s="60" t="n">
        <f aca="false">F14+1</f>
        <v>44836</v>
      </c>
      <c r="I14" s="60"/>
      <c r="J14" s="60" t="n">
        <f aca="false">H14+1</f>
        <v>44837</v>
      </c>
      <c r="K14" s="60"/>
      <c r="L14" s="60" t="n">
        <f aca="false">J14+1</f>
        <v>44838</v>
      </c>
      <c r="M14" s="60"/>
      <c r="N14" s="60" t="n">
        <f aca="false">L14+1</f>
        <v>44839</v>
      </c>
      <c r="O14" s="60"/>
      <c r="P14" s="60" t="n">
        <f aca="false">N14+1</f>
        <v>44840</v>
      </c>
      <c r="Q14" s="60"/>
      <c r="R14" s="60" t="n">
        <f aca="false">P14+1</f>
        <v>44841</v>
      </c>
      <c r="S14" s="60"/>
      <c r="T14" s="60" t="n">
        <f aca="false">R14+1</f>
        <v>44842</v>
      </c>
      <c r="U14" s="60"/>
      <c r="V14" s="60" t="n">
        <f aca="false">T14+1</f>
        <v>44843</v>
      </c>
      <c r="W14" s="60"/>
      <c r="X14" s="60" t="n">
        <f aca="false">V14+1</f>
        <v>44844</v>
      </c>
      <c r="Y14" s="60"/>
      <c r="Z14" s="60" t="n">
        <f aca="false">X14+1</f>
        <v>44845</v>
      </c>
      <c r="AA14" s="60"/>
      <c r="AB14" s="60" t="n">
        <f aca="false">Z14+1</f>
        <v>44846</v>
      </c>
      <c r="AC14" s="60"/>
      <c r="AD14" s="60" t="n">
        <f aca="false">AB14+1</f>
        <v>44847</v>
      </c>
      <c r="AE14" s="60"/>
      <c r="AF14" s="60" t="n">
        <f aca="false">AD14+1</f>
        <v>44848</v>
      </c>
      <c r="AG14" s="60"/>
      <c r="AH14" s="60" t="n">
        <f aca="false">AF14+1</f>
        <v>44849</v>
      </c>
      <c r="AI14" s="60"/>
      <c r="AJ14" s="60" t="n">
        <f aca="false">AH14+1</f>
        <v>44850</v>
      </c>
      <c r="AK14" s="60"/>
      <c r="AL14" s="60" t="n">
        <f aca="false">AJ14+1</f>
        <v>44851</v>
      </c>
      <c r="AM14" s="60"/>
      <c r="AN14" s="60" t="n">
        <f aca="false">AL14+1</f>
        <v>44852</v>
      </c>
      <c r="AO14" s="60"/>
      <c r="AP14" s="60" t="n">
        <f aca="false">AN14+1</f>
        <v>44853</v>
      </c>
      <c r="AQ14" s="60"/>
      <c r="AR14" s="60" t="n">
        <f aca="false">AP14+1</f>
        <v>44854</v>
      </c>
      <c r="AS14" s="60"/>
      <c r="AT14" s="60" t="n">
        <f aca="false">AR14+1</f>
        <v>44855</v>
      </c>
      <c r="AU14" s="60"/>
      <c r="AV14" s="60" t="n">
        <f aca="false">AT14+1</f>
        <v>44856</v>
      </c>
      <c r="AW14" s="60"/>
      <c r="AX14" s="60" t="n">
        <f aca="false">AV14+1</f>
        <v>44857</v>
      </c>
      <c r="AY14" s="60"/>
      <c r="AZ14" s="60" t="n">
        <f aca="false">AX14+1</f>
        <v>44858</v>
      </c>
      <c r="BA14" s="60"/>
      <c r="BB14" s="60" t="n">
        <f aca="false">AZ14+1</f>
        <v>44859</v>
      </c>
      <c r="BC14" s="60"/>
      <c r="BD14" s="60" t="n">
        <f aca="false">BB14+1</f>
        <v>44860</v>
      </c>
      <c r="BE14" s="60"/>
      <c r="BF14" s="60" t="n">
        <f aca="false">BD14+1</f>
        <v>44861</v>
      </c>
      <c r="BG14" s="60"/>
      <c r="BH14" s="60" t="n">
        <f aca="false">BF14+1</f>
        <v>44862</v>
      </c>
      <c r="BI14" s="60"/>
      <c r="BJ14" s="60" t="n">
        <f aca="false">BH14+1</f>
        <v>44863</v>
      </c>
      <c r="BK14" s="60"/>
      <c r="BL14" s="60" t="n">
        <f aca="false">BJ14+1</f>
        <v>44864</v>
      </c>
      <c r="BM14" s="60"/>
      <c r="BN14" s="60" t="n">
        <f aca="false">BL14+1</f>
        <v>44865</v>
      </c>
      <c r="BO14" s="60"/>
      <c r="BP14" s="60" t="n">
        <f aca="false">BN14+1</f>
        <v>44866</v>
      </c>
      <c r="BQ14" s="60"/>
      <c r="BR14" s="13"/>
      <c r="BS14" s="14"/>
    </row>
    <row r="15" customFormat="false" ht="15" hidden="false" customHeight="false" outlineLevel="0" collapsed="false">
      <c r="B15" s="40"/>
      <c r="C15" s="61" t="s">
        <v>26</v>
      </c>
      <c r="D15" s="62" t="s">
        <v>27</v>
      </c>
      <c r="E15" s="63" t="n">
        <v>11</v>
      </c>
      <c r="F15" s="64"/>
      <c r="G15" s="65" t="n">
        <f aca="false">IF(F15="#",IF(NETWORKDAYS($F$14,$F$14,Holidays!A:A)&lt;1,-1,0),E15+1)</f>
        <v>12</v>
      </c>
      <c r="H15" s="64"/>
      <c r="I15" s="65" t="n">
        <f aca="false">IF(H15="#",IF(NETWORKDAYS($F$14,$F$14,Holidays!C:C)&lt;1,-1,0),G15+1)</f>
        <v>13</v>
      </c>
      <c r="J15" s="64"/>
      <c r="K15" s="65" t="n">
        <f aca="false">IF(J15="#",IF(NETWORKDAYS($F$14,$F$14,Holidays!E:E)&lt;1,-1,0),I15+1)</f>
        <v>14</v>
      </c>
      <c r="L15" s="64"/>
      <c r="M15" s="65" t="n">
        <f aca="false">IF(L15="#",IF(NETWORKDAYS($F$14,$F$14,Holidays!G:G)&lt;1,-1,0),K15+1)</f>
        <v>15</v>
      </c>
      <c r="N15" s="64"/>
      <c r="O15" s="65" t="n">
        <f aca="false">IF(N15="#",IF(NETWORKDAYS($F$14,$F$14,Holidays!I:I)&lt;1,-1,0),M15+1)</f>
        <v>16</v>
      </c>
      <c r="P15" s="64"/>
      <c r="Q15" s="65" t="n">
        <f aca="false">IF(P15="#",IF(NETWORKDAYS($F$14,$F$14,Holidays!K:K)&lt;1,-1,0),O15+1)</f>
        <v>17</v>
      </c>
      <c r="R15" s="64"/>
      <c r="S15" s="65" t="n">
        <f aca="false">IF(R15="#",IF(NETWORKDAYS($F$14,$F$14,Holidays!M:M)&lt;1,-1,0),Q15+1)</f>
        <v>18</v>
      </c>
      <c r="T15" s="64"/>
      <c r="U15" s="65" t="n">
        <f aca="false">IF(T15="#",IF(NETWORKDAYS($F$14,$F$14,Holidays!O:O)&lt;1,-1,0),S15+1)</f>
        <v>19</v>
      </c>
      <c r="V15" s="64"/>
      <c r="W15" s="65" t="n">
        <f aca="false">IF(V15="#",IF(NETWORKDAYS($F$14,$F$14,Holidays!Q:Q)&lt;1,-1,0),U15+1)</f>
        <v>20</v>
      </c>
      <c r="X15" s="64"/>
      <c r="Y15" s="65" t="n">
        <f aca="false">IF(X15="#",IF(NETWORKDAYS($F$14,$F$14,Holidays!S:S)&lt;1,-1,0),W15+1)</f>
        <v>21</v>
      </c>
      <c r="Z15" s="64"/>
      <c r="AA15" s="65" t="n">
        <f aca="false">IF(Z15="#",IF(NETWORKDAYS($F$14,$F$14,Holidays!U:U)&lt;1,-1,0),Y15+1)</f>
        <v>22</v>
      </c>
      <c r="AB15" s="64"/>
      <c r="AC15" s="65" t="n">
        <f aca="false">IF(AB15="#",IF(NETWORKDAYS($F$14,$F$14,Holidays!W:W)&lt;1,-1,0),AA15+1)</f>
        <v>23</v>
      </c>
      <c r="AD15" s="64"/>
      <c r="AE15" s="65" t="n">
        <f aca="false">IF(AD15="#",IF(NETWORKDAYS($F$14,$F$14,Holidays!Y:Y)&lt;1,-1,0),AC15+1)</f>
        <v>24</v>
      </c>
      <c r="AF15" s="64"/>
      <c r="AG15" s="65" t="n">
        <f aca="false">IF(AF15="#",IF(NETWORKDAYS($F$14,$F$14,Holidays!AA:AA)&lt;1,-1,0),AE15+1)</f>
        <v>25</v>
      </c>
      <c r="AH15" s="64"/>
      <c r="AI15" s="65" t="n">
        <f aca="false">IF(AH15="#",IF(NETWORKDAYS($F$14,$F$14,Holidays!AC:AC)&lt;1,-1,0),AG15+1)</f>
        <v>26</v>
      </c>
      <c r="AJ15" s="64"/>
      <c r="AK15" s="65" t="n">
        <f aca="false">IF(AJ15="#",IF(NETWORKDAYS($F$14,$F$14,Holidays!AE:AE)&lt;1,-1,0),AI15+1)</f>
        <v>27</v>
      </c>
      <c r="AL15" s="64"/>
      <c r="AM15" s="65" t="n">
        <f aca="false">IF(AL15="#",IF(NETWORKDAYS($F$14,$F$14,Holidays!AG:AG)&lt;1,-1,0),AK15+1)</f>
        <v>28</v>
      </c>
      <c r="AN15" s="64"/>
      <c r="AO15" s="65" t="n">
        <f aca="false">IF(AN15="#",IF(NETWORKDAYS($F$14,$F$14,Holidays!AI:AI)&lt;1,-1,0),AM15+1)</f>
        <v>29</v>
      </c>
      <c r="AP15" s="64"/>
      <c r="AQ15" s="65" t="n">
        <f aca="false">IF(AP15="#",IF(NETWORKDAYS($F$14,$F$14,Holidays!AK:AK)&lt;1,-1,0),AO15+1)</f>
        <v>30</v>
      </c>
      <c r="AR15" s="64"/>
      <c r="AS15" s="65" t="n">
        <f aca="false">IF(AR15="#",IF(NETWORKDAYS($F$14,$F$14,Holidays!AM:AM)&lt;1,-1,0),AQ15+1)</f>
        <v>31</v>
      </c>
      <c r="AT15" s="64"/>
      <c r="AU15" s="65" t="n">
        <f aca="false">IF(AT15="#",IF(NETWORKDAYS($F$14,$F$14,Holidays!AO:AO)&lt;1,-1,0),AS15+1)</f>
        <v>32</v>
      </c>
      <c r="AV15" s="64"/>
      <c r="AW15" s="65" t="n">
        <f aca="false">IF(AV15="#",IF(NETWORKDAYS($F$14,$F$14,Holidays!AQ:AQ)&lt;1,-1,0),AU15+1)</f>
        <v>33</v>
      </c>
      <c r="AX15" s="64"/>
      <c r="AY15" s="65" t="n">
        <f aca="false">IF(AX15="#",IF(NETWORKDAYS($F$14,$F$14,Holidays!AS:AS)&lt;1,-1,0),AW15+1)</f>
        <v>34</v>
      </c>
      <c r="AZ15" s="64"/>
      <c r="BA15" s="65" t="n">
        <f aca="false">IF(AZ15="#",IF(NETWORKDAYS($F$14,$F$14,Holidays!AU:AU)&lt;1,-1,0),AY15+1)</f>
        <v>35</v>
      </c>
      <c r="BB15" s="64"/>
      <c r="BC15" s="65" t="n">
        <f aca="false">IF(BB15="#",IF(NETWORKDAYS($F$14,$F$14,Holidays!AW:AW)&lt;1,-1,0),BA15+1)</f>
        <v>36</v>
      </c>
      <c r="BD15" s="64"/>
      <c r="BE15" s="65" t="n">
        <f aca="false">IF(BD15="#",IF(NETWORKDAYS($F$14,$F$14,Holidays!AY:AY)&lt;1,-1,0),BC15+1)</f>
        <v>37</v>
      </c>
      <c r="BF15" s="64"/>
      <c r="BG15" s="65" t="n">
        <f aca="false">IF(BF15="#",IF(NETWORKDAYS($F$14,$F$14,Holidays!BA:BA)&lt;1,-1,0),BE15+1)</f>
        <v>38</v>
      </c>
      <c r="BH15" s="64"/>
      <c r="BI15" s="65" t="n">
        <f aca="false">IF(BH15="#",IF(NETWORKDAYS($F$14,$F$14,Holidays!BC:BC)&lt;1,-1,0),BG15+1)</f>
        <v>39</v>
      </c>
      <c r="BJ15" s="64"/>
      <c r="BK15" s="65" t="n">
        <f aca="false">IF(BJ15="#",IF(NETWORKDAYS($F$14,$F$14,Holidays!BE:BE)&lt;1,-1,0),BI15+1)</f>
        <v>40</v>
      </c>
      <c r="BL15" s="64"/>
      <c r="BM15" s="65" t="n">
        <f aca="false">IF(BL15="#",IF(NETWORKDAYS($F$14,$F$14,Holidays!BG:BG)&lt;1,-1,0),BK15+1)</f>
        <v>41</v>
      </c>
      <c r="BN15" s="64"/>
      <c r="BO15" s="65" t="n">
        <f aca="false">IF(BN15="#",IF(NETWORKDAYS($F$14,$F$14,Holidays!BI:BI)&lt;1,-1,0),BM15+1)</f>
        <v>42</v>
      </c>
      <c r="BP15" s="64"/>
      <c r="BQ15" s="65" t="n">
        <f aca="false">IF(BP15="#",IF(NETWORKDAYS($F$14,$F$14,Holidays!BK:BK)&lt;1,-1,0),BO15+1)</f>
        <v>43</v>
      </c>
      <c r="BR15" s="13"/>
      <c r="BS15" s="14"/>
    </row>
    <row r="16" customFormat="false" ht="16.5" hidden="false" customHeight="true" outlineLevel="0" collapsed="false">
      <c r="B16" s="40"/>
      <c r="C16" s="66" t="s">
        <v>26</v>
      </c>
      <c r="D16" s="62" t="s">
        <v>27</v>
      </c>
      <c r="E16" s="63" t="n">
        <v>6</v>
      </c>
      <c r="F16" s="64"/>
      <c r="G16" s="65" t="n">
        <f aca="false">IF(F16="#",IF(NETWORKDAYS($F$14,$F$14,Holidays!A:A)&lt;1,-1,0),E16+1)</f>
        <v>7</v>
      </c>
      <c r="H16" s="64"/>
      <c r="I16" s="65" t="n">
        <f aca="false">IF(H16="#",IF(NETWORKDAYS($F$14,$F$14,Holidays!C:C)&lt;1,-1,0),G16+1)</f>
        <v>8</v>
      </c>
      <c r="J16" s="64"/>
      <c r="K16" s="65" t="n">
        <f aca="false">IF(J16="#",IF(NETWORKDAYS($F$14,$F$14,Holidays!E:E)&lt;1,-1,0),I16+1)</f>
        <v>9</v>
      </c>
      <c r="L16" s="64"/>
      <c r="M16" s="65" t="n">
        <f aca="false">IF(L16="#",IF(NETWORKDAYS($F$14,$F$14,Holidays!G:G)&lt;1,-1,0),K16+1)</f>
        <v>10</v>
      </c>
      <c r="N16" s="64"/>
      <c r="O16" s="65" t="n">
        <f aca="false">IF(N16="#",IF(NETWORKDAYS($F$14,$F$14,Holidays!I:I)&lt;1,-1,0),M16+1)</f>
        <v>11</v>
      </c>
      <c r="P16" s="64"/>
      <c r="Q16" s="65" t="n">
        <f aca="false">IF(P16="#",IF(NETWORKDAYS($F$14,$F$14,Holidays!K:K)&lt;1,-1,0),O16+1)</f>
        <v>12</v>
      </c>
      <c r="R16" s="64"/>
      <c r="S16" s="65" t="n">
        <f aca="false">IF(R16="#",IF(NETWORKDAYS($F$14,$F$14,Holidays!M:M)&lt;1,-1,0),Q16+1)</f>
        <v>13</v>
      </c>
      <c r="T16" s="64"/>
      <c r="U16" s="65" t="n">
        <f aca="false">IF(T16="#",IF(NETWORKDAYS($F$14,$F$14,Holidays!O:O)&lt;1,-1,0),S16+1)</f>
        <v>14</v>
      </c>
      <c r="V16" s="64"/>
      <c r="W16" s="65" t="n">
        <f aca="false">IF(V16="#",IF(NETWORKDAYS($F$14,$F$14,Holidays!Q:Q)&lt;1,-1,0),U16+1)</f>
        <v>15</v>
      </c>
      <c r="X16" s="64"/>
      <c r="Y16" s="65" t="n">
        <f aca="false">IF(X16="#",IF(NETWORKDAYS($F$14,$F$14,Holidays!S:S)&lt;1,-1,0),W16+1)</f>
        <v>16</v>
      </c>
      <c r="Z16" s="64"/>
      <c r="AA16" s="65" t="n">
        <f aca="false">IF(Z16="#",IF(NETWORKDAYS($F$14,$F$14,Holidays!U:U)&lt;1,-1,0),Y16+1)</f>
        <v>17</v>
      </c>
      <c r="AB16" s="64"/>
      <c r="AC16" s="65" t="n">
        <f aca="false">IF(AB16="#",IF(NETWORKDAYS($F$14,$F$14,Holidays!W:W)&lt;1,-1,0),AA16+1)</f>
        <v>18</v>
      </c>
      <c r="AD16" s="64"/>
      <c r="AE16" s="65" t="n">
        <f aca="false">IF(AD16="#",IF(NETWORKDAYS($F$14,$F$14,Holidays!Y:Y)&lt;1,-1,0),AC16+1)</f>
        <v>19</v>
      </c>
      <c r="AF16" s="64"/>
      <c r="AG16" s="65" t="n">
        <f aca="false">IF(AF16="#",IF(NETWORKDAYS($F$14,$F$14,Holidays!AA:AA)&lt;1,-1,0),AE16+1)</f>
        <v>20</v>
      </c>
      <c r="AH16" s="64"/>
      <c r="AI16" s="65" t="n">
        <f aca="false">IF(AH16="#",IF(NETWORKDAYS($F$14,$F$14,Holidays!AC:AC)&lt;1,-1,0),AG16+1)</f>
        <v>21</v>
      </c>
      <c r="AJ16" s="64"/>
      <c r="AK16" s="65" t="n">
        <f aca="false">IF(AJ16="#",IF(NETWORKDAYS($F$14,$F$14,Holidays!AE:AE)&lt;1,-1,0),AI16+1)</f>
        <v>22</v>
      </c>
      <c r="AL16" s="64"/>
      <c r="AM16" s="65" t="n">
        <f aca="false">IF(AL16="#",IF(NETWORKDAYS($F$14,$F$14,Holidays!AG:AG)&lt;1,-1,0),AK16+1)</f>
        <v>23</v>
      </c>
      <c r="AN16" s="64"/>
      <c r="AO16" s="65" t="n">
        <f aca="false">IF(AN16="#",IF(NETWORKDAYS($F$14,$F$14,Holidays!AI:AI)&lt;1,-1,0),AM16+1)</f>
        <v>24</v>
      </c>
      <c r="AP16" s="64"/>
      <c r="AQ16" s="65" t="n">
        <f aca="false">IF(AP16="#",IF(NETWORKDAYS($F$14,$F$14,Holidays!AK:AK)&lt;1,-1,0),AO16+1)</f>
        <v>25</v>
      </c>
      <c r="AR16" s="64"/>
      <c r="AS16" s="65" t="n">
        <f aca="false">IF(AR16="#",IF(NETWORKDAYS($F$14,$F$14,Holidays!AM:AM)&lt;1,-1,0),AQ16+1)</f>
        <v>26</v>
      </c>
      <c r="AT16" s="64"/>
      <c r="AU16" s="65" t="n">
        <f aca="false">IF(AT16="#",IF(NETWORKDAYS($F$14,$F$14,Holidays!AO:AO)&lt;1,-1,0),AS16+1)</f>
        <v>27</v>
      </c>
      <c r="AV16" s="64"/>
      <c r="AW16" s="65" t="n">
        <f aca="false">IF(AV16="#",IF(NETWORKDAYS($F$14,$F$14,Holidays!AQ:AQ)&lt;1,-1,0),AU16+1)</f>
        <v>28</v>
      </c>
      <c r="AX16" s="64"/>
      <c r="AY16" s="65" t="n">
        <f aca="false">IF(AX16="#",IF(NETWORKDAYS($F$14,$F$14,Holidays!AS:AS)&lt;1,-1,0),AW16+1)</f>
        <v>29</v>
      </c>
      <c r="AZ16" s="64"/>
      <c r="BA16" s="65" t="n">
        <f aca="false">IF(AZ16="#",IF(NETWORKDAYS($F$14,$F$14,Holidays!AU:AU)&lt;1,-1,0),AY16+1)</f>
        <v>30</v>
      </c>
      <c r="BB16" s="64"/>
      <c r="BC16" s="65" t="n">
        <f aca="false">IF(BB16="#",IF(NETWORKDAYS($F$14,$F$14,Holidays!AW:AW)&lt;1,-1,0),BA16+1)</f>
        <v>31</v>
      </c>
      <c r="BD16" s="64"/>
      <c r="BE16" s="65" t="n">
        <f aca="false">IF(BD16="#",IF(NETWORKDAYS($F$14,$F$14,Holidays!AY:AY)&lt;1,-1,0),BC16+1)</f>
        <v>32</v>
      </c>
      <c r="BF16" s="64"/>
      <c r="BG16" s="65" t="n">
        <f aca="false">IF(BF16="#",IF(NETWORKDAYS($F$14,$F$14,Holidays!BA:BA)&lt;1,-1,0),BE16+1)</f>
        <v>33</v>
      </c>
      <c r="BH16" s="64"/>
      <c r="BI16" s="65" t="n">
        <f aca="false">IF(BH16="#",IF(NETWORKDAYS($F$14,$F$14,Holidays!BC:BC)&lt;1,-1,0),BG16+1)</f>
        <v>34</v>
      </c>
      <c r="BJ16" s="64"/>
      <c r="BK16" s="65" t="n">
        <f aca="false">IF(BJ16="#",IF(NETWORKDAYS($F$14,$F$14,Holidays!BE:BE)&lt;1,-1,0),BI16+1)</f>
        <v>35</v>
      </c>
      <c r="BL16" s="64"/>
      <c r="BM16" s="65" t="n">
        <f aca="false">IF(BL16="#",IF(NETWORKDAYS($F$14,$F$14,Holidays!BG:BG)&lt;1,-1,0),BK16+1)</f>
        <v>36</v>
      </c>
      <c r="BN16" s="64"/>
      <c r="BO16" s="65" t="n">
        <f aca="false">IF(BN16="#",IF(NETWORKDAYS($F$14,$F$14,Holidays!BI:BI)&lt;1,-1,0),BM16+1)</f>
        <v>37</v>
      </c>
      <c r="BP16" s="64"/>
      <c r="BQ16" s="65" t="n">
        <f aca="false">IF(BP16="#",IF(NETWORKDAYS($F$14,$F$14,Holidays!BK:BK)&lt;1,-1,0),BO16+1)</f>
        <v>38</v>
      </c>
      <c r="BR16" s="13"/>
      <c r="BS16" s="14"/>
    </row>
    <row r="17" customFormat="false" ht="16.5" hidden="false" customHeight="true" outlineLevel="0" collapsed="false">
      <c r="B17" s="40"/>
      <c r="C17" s="66" t="s">
        <v>26</v>
      </c>
      <c r="D17" s="62" t="s">
        <v>27</v>
      </c>
      <c r="E17" s="63" t="n">
        <v>3</v>
      </c>
      <c r="F17" s="64"/>
      <c r="G17" s="65" t="n">
        <f aca="false">IF(F17="#",IF(NETWORKDAYS($F$14,$F$14,Holidays!A:A)&lt;1,-1,0),E17+1)</f>
        <v>4</v>
      </c>
      <c r="H17" s="64"/>
      <c r="I17" s="65" t="n">
        <f aca="false">IF(H17="#",IF(NETWORKDAYS($F$14,$F$14,Holidays!C:C)&lt;1,-1,0),G17+1)</f>
        <v>5</v>
      </c>
      <c r="J17" s="64"/>
      <c r="K17" s="65" t="n">
        <f aca="false">IF(J17="#",IF(NETWORKDAYS($F$14,$F$14,Holidays!E:E)&lt;1,-1,0),I17+1)</f>
        <v>6</v>
      </c>
      <c r="L17" s="64"/>
      <c r="M17" s="65" t="n">
        <f aca="false">IF(L17="#",IF(NETWORKDAYS($F$14,$F$14,Holidays!G:G)&lt;1,-1,0),K17+1)</f>
        <v>7</v>
      </c>
      <c r="N17" s="64"/>
      <c r="O17" s="65" t="n">
        <f aca="false">IF(N17="#",IF(NETWORKDAYS($F$14,$F$14,Holidays!I:I)&lt;1,-1,0),M17+1)</f>
        <v>8</v>
      </c>
      <c r="P17" s="64"/>
      <c r="Q17" s="65" t="n">
        <f aca="false">IF(P17="#",IF(NETWORKDAYS($F$14,$F$14,Holidays!K:K)&lt;1,-1,0),O17+1)</f>
        <v>9</v>
      </c>
      <c r="R17" s="64"/>
      <c r="S17" s="65" t="n">
        <f aca="false">IF(R17="#",IF(NETWORKDAYS($F$14,$F$14,Holidays!M:M)&lt;1,-1,0),Q17+1)</f>
        <v>10</v>
      </c>
      <c r="T17" s="64"/>
      <c r="U17" s="65" t="n">
        <f aca="false">IF(T17="#",IF(NETWORKDAYS($F$14,$F$14,Holidays!O:O)&lt;1,-1,0),S17+1)</f>
        <v>11</v>
      </c>
      <c r="V17" s="64"/>
      <c r="W17" s="65" t="n">
        <f aca="false">IF(V17="#",IF(NETWORKDAYS($F$14,$F$14,Holidays!Q:Q)&lt;1,-1,0),U17+1)</f>
        <v>12</v>
      </c>
      <c r="X17" s="64"/>
      <c r="Y17" s="65" t="n">
        <f aca="false">IF(X17="#",IF(NETWORKDAYS($F$14,$F$14,Holidays!S:S)&lt;1,-1,0),W17+1)</f>
        <v>13</v>
      </c>
      <c r="Z17" s="64"/>
      <c r="AA17" s="65" t="n">
        <f aca="false">IF(Z17="#",IF(NETWORKDAYS($F$14,$F$14,Holidays!U:U)&lt;1,-1,0),Y17+1)</f>
        <v>14</v>
      </c>
      <c r="AB17" s="64"/>
      <c r="AC17" s="65" t="n">
        <f aca="false">IF(AB17="#",IF(NETWORKDAYS($F$14,$F$14,Holidays!W:W)&lt;1,-1,0),AA17+1)</f>
        <v>15</v>
      </c>
      <c r="AD17" s="64"/>
      <c r="AE17" s="65" t="n">
        <f aca="false">IF(AD17="#",IF(NETWORKDAYS($F$14,$F$14,Holidays!Y:Y)&lt;1,-1,0),AC17+1)</f>
        <v>16</v>
      </c>
      <c r="AF17" s="64"/>
      <c r="AG17" s="65" t="n">
        <f aca="false">IF(AF17="#",IF(NETWORKDAYS($F$14,$F$14,Holidays!AA:AA)&lt;1,-1,0),AE17+1)</f>
        <v>17</v>
      </c>
      <c r="AH17" s="64"/>
      <c r="AI17" s="65" t="n">
        <f aca="false">IF(AH17="#",IF(NETWORKDAYS($F$14,$F$14,Holidays!AC:AC)&lt;1,-1,0),AG17+1)</f>
        <v>18</v>
      </c>
      <c r="AJ17" s="64"/>
      <c r="AK17" s="65" t="n">
        <f aca="false">IF(AJ17="#",IF(NETWORKDAYS($F$14,$F$14,Holidays!AE:AE)&lt;1,-1,0),AI17+1)</f>
        <v>19</v>
      </c>
      <c r="AL17" s="64"/>
      <c r="AM17" s="65" t="n">
        <f aca="false">IF(AL17="#",IF(NETWORKDAYS($F$14,$F$14,Holidays!AG:AG)&lt;1,-1,0),AK17+1)</f>
        <v>20</v>
      </c>
      <c r="AN17" s="64"/>
      <c r="AO17" s="65" t="n">
        <f aca="false">IF(AN17="#",IF(NETWORKDAYS($F$14,$F$14,Holidays!AI:AI)&lt;1,-1,0),AM17+1)</f>
        <v>21</v>
      </c>
      <c r="AP17" s="64"/>
      <c r="AQ17" s="65" t="n">
        <f aca="false">IF(AP17="#",IF(NETWORKDAYS($F$14,$F$14,Holidays!AK:AK)&lt;1,-1,0),AO17+1)</f>
        <v>22</v>
      </c>
      <c r="AR17" s="64"/>
      <c r="AS17" s="65" t="n">
        <f aca="false">IF(AR17="#",IF(NETWORKDAYS($F$14,$F$14,Holidays!AM:AM)&lt;1,-1,0),AQ17+1)</f>
        <v>23</v>
      </c>
      <c r="AT17" s="64"/>
      <c r="AU17" s="65" t="n">
        <f aca="false">IF(AT17="#",IF(NETWORKDAYS($F$14,$F$14,Holidays!AO:AO)&lt;1,-1,0),AS17+1)</f>
        <v>24</v>
      </c>
      <c r="AV17" s="64"/>
      <c r="AW17" s="65" t="n">
        <f aca="false">IF(AV17="#",IF(NETWORKDAYS($F$14,$F$14,Holidays!AQ:AQ)&lt;1,-1,0),AU17+1)</f>
        <v>25</v>
      </c>
      <c r="AX17" s="64"/>
      <c r="AY17" s="65" t="n">
        <f aca="false">IF(AX17="#",IF(NETWORKDAYS($F$14,$F$14,Holidays!AS:AS)&lt;1,-1,0),AW17+1)</f>
        <v>26</v>
      </c>
      <c r="AZ17" s="64"/>
      <c r="BA17" s="65" t="n">
        <f aca="false">IF(AZ17="#",IF(NETWORKDAYS($F$14,$F$14,Holidays!AU:AU)&lt;1,-1,0),AY17+1)</f>
        <v>27</v>
      </c>
      <c r="BB17" s="64"/>
      <c r="BC17" s="65" t="n">
        <f aca="false">IF(BB17="#",IF(NETWORKDAYS($F$14,$F$14,Holidays!AW:AW)&lt;1,-1,0),BA17+1)</f>
        <v>28</v>
      </c>
      <c r="BD17" s="64"/>
      <c r="BE17" s="65" t="n">
        <f aca="false">IF(BD17="#",IF(NETWORKDAYS($F$14,$F$14,Holidays!AY:AY)&lt;1,-1,0),BC17+1)</f>
        <v>29</v>
      </c>
      <c r="BF17" s="64"/>
      <c r="BG17" s="65" t="n">
        <f aca="false">IF(BF17="#",IF(NETWORKDAYS($F$14,$F$14,Holidays!BA:BA)&lt;1,-1,0),BE17+1)</f>
        <v>30</v>
      </c>
      <c r="BH17" s="64"/>
      <c r="BI17" s="65" t="n">
        <f aca="false">IF(BH17="#",IF(NETWORKDAYS($F$14,$F$14,Holidays!BC:BC)&lt;1,-1,0),BG17+1)</f>
        <v>31</v>
      </c>
      <c r="BJ17" s="64"/>
      <c r="BK17" s="65" t="n">
        <f aca="false">IF(BJ17="#",IF(NETWORKDAYS($F$14,$F$14,Holidays!BE:BE)&lt;1,-1,0),BI17+1)</f>
        <v>32</v>
      </c>
      <c r="BL17" s="64"/>
      <c r="BM17" s="65" t="n">
        <f aca="false">IF(BL17="#",IF(NETWORKDAYS($F$14,$F$14,Holidays!BG:BG)&lt;1,-1,0),BK17+1)</f>
        <v>33</v>
      </c>
      <c r="BN17" s="64"/>
      <c r="BO17" s="65" t="n">
        <f aca="false">IF(BN17="#",IF(NETWORKDAYS($F$14,$F$14,Holidays!BI:BI)&lt;1,-1,0),BM17+1)</f>
        <v>34</v>
      </c>
      <c r="BP17" s="64"/>
      <c r="BQ17" s="65" t="n">
        <f aca="false">IF(BP17="#",IF(NETWORKDAYS($F$14,$F$14,Holidays!BK:BK)&lt;1,-1,0),BO17+1)</f>
        <v>35</v>
      </c>
      <c r="BR17" s="13"/>
      <c r="BS17" s="14"/>
    </row>
    <row r="18" customFormat="false" ht="16.5" hidden="false" customHeight="true" outlineLevel="0" collapsed="false">
      <c r="B18" s="40"/>
      <c r="C18" s="66" t="s">
        <v>26</v>
      </c>
      <c r="D18" s="62" t="s">
        <v>27</v>
      </c>
      <c r="E18" s="63" t="n">
        <v>79</v>
      </c>
      <c r="F18" s="64"/>
      <c r="G18" s="65" t="n">
        <f aca="false">IF(F18="#",IF(NETWORKDAYS($F$14,$F$14,Holidays!A:A)&lt;1,-1,0),E18+1)</f>
        <v>80</v>
      </c>
      <c r="H18" s="64"/>
      <c r="I18" s="65" t="n">
        <f aca="false">IF(H18="#",IF(NETWORKDAYS($F$14,$F$14,Holidays!C:C)&lt;1,-1,0),G18+1)</f>
        <v>81</v>
      </c>
      <c r="J18" s="64"/>
      <c r="K18" s="65" t="n">
        <f aca="false">IF(J18="#",IF(NETWORKDAYS($F$14,$F$14,Holidays!E:E)&lt;1,-1,0),I18+1)</f>
        <v>82</v>
      </c>
      <c r="L18" s="64"/>
      <c r="M18" s="65" t="n">
        <f aca="false">IF(L18="#",IF(NETWORKDAYS($F$14,$F$14,Holidays!G:G)&lt;1,-1,0),K18+1)</f>
        <v>83</v>
      </c>
      <c r="N18" s="64"/>
      <c r="O18" s="65" t="n">
        <f aca="false">IF(N18="#",IF(NETWORKDAYS($F$14,$F$14,Holidays!I:I)&lt;1,-1,0),M18+1)</f>
        <v>84</v>
      </c>
      <c r="P18" s="64"/>
      <c r="Q18" s="65" t="n">
        <f aca="false">IF(P18="#",IF(NETWORKDAYS($F$14,$F$14,Holidays!K:K)&lt;1,-1,0),O18+1)</f>
        <v>85</v>
      </c>
      <c r="R18" s="64"/>
      <c r="S18" s="65" t="n">
        <f aca="false">IF(R18="#",IF(NETWORKDAYS($F$14,$F$14,Holidays!M:M)&lt;1,-1,0),Q18+1)</f>
        <v>86</v>
      </c>
      <c r="T18" s="64"/>
      <c r="U18" s="65" t="n">
        <f aca="false">IF(T18="#",IF(NETWORKDAYS($F$14,$F$14,Holidays!O:O)&lt;1,-1,0),S18+1)</f>
        <v>87</v>
      </c>
      <c r="V18" s="64"/>
      <c r="W18" s="65" t="n">
        <f aca="false">IF(V18="#",IF(NETWORKDAYS($F$14,$F$14,Holidays!Q:Q)&lt;1,-1,0),U18+1)</f>
        <v>88</v>
      </c>
      <c r="X18" s="64"/>
      <c r="Y18" s="65" t="n">
        <f aca="false">IF(X18="#",IF(NETWORKDAYS($F$14,$F$14,Holidays!S:S)&lt;1,-1,0),W18+1)</f>
        <v>89</v>
      </c>
      <c r="Z18" s="64"/>
      <c r="AA18" s="65" t="n">
        <f aca="false">IF(Z18="#",IF(NETWORKDAYS($F$14,$F$14,Holidays!U:U)&lt;1,-1,0),Y18+1)</f>
        <v>90</v>
      </c>
      <c r="AB18" s="64"/>
      <c r="AC18" s="65" t="n">
        <f aca="false">IF(AB18="#",IF(NETWORKDAYS($F$14,$F$14,Holidays!W:W)&lt;1,-1,0),AA18+1)</f>
        <v>91</v>
      </c>
      <c r="AD18" s="64"/>
      <c r="AE18" s="65" t="n">
        <f aca="false">IF(AD18="#",IF(NETWORKDAYS($F$14,$F$14,Holidays!Y:Y)&lt;1,-1,0),AC18+1)</f>
        <v>92</v>
      </c>
      <c r="AF18" s="64"/>
      <c r="AG18" s="65" t="n">
        <f aca="false">IF(AF18="#",IF(NETWORKDAYS($F$14,$F$14,Holidays!AA:AA)&lt;1,-1,0),AE18+1)</f>
        <v>93</v>
      </c>
      <c r="AH18" s="64"/>
      <c r="AI18" s="65" t="n">
        <f aca="false">IF(AH18="#",IF(NETWORKDAYS($F$14,$F$14,Holidays!AC:AC)&lt;1,-1,0),AG18+1)</f>
        <v>94</v>
      </c>
      <c r="AJ18" s="64"/>
      <c r="AK18" s="65" t="n">
        <f aca="false">IF(AJ18="#",IF(NETWORKDAYS($F$14,$F$14,Holidays!AE:AE)&lt;1,-1,0),AI18+1)</f>
        <v>95</v>
      </c>
      <c r="AL18" s="64"/>
      <c r="AM18" s="65" t="n">
        <f aca="false">IF(AL18="#",IF(NETWORKDAYS($F$14,$F$14,Holidays!AG:AG)&lt;1,-1,0),AK18+1)</f>
        <v>96</v>
      </c>
      <c r="AN18" s="64"/>
      <c r="AO18" s="65" t="n">
        <f aca="false">IF(AN18="#",IF(NETWORKDAYS($F$14,$F$14,Holidays!AI:AI)&lt;1,-1,0),AM18+1)</f>
        <v>97</v>
      </c>
      <c r="AP18" s="64"/>
      <c r="AQ18" s="65" t="n">
        <f aca="false">IF(AP18="#",IF(NETWORKDAYS($F$14,$F$14,Holidays!AK:AK)&lt;1,-1,0),AO18+1)</f>
        <v>98</v>
      </c>
      <c r="AR18" s="64"/>
      <c r="AS18" s="65" t="n">
        <f aca="false">IF(AR18="#",IF(NETWORKDAYS($F$14,$F$14,Holidays!AM:AM)&lt;1,-1,0),AQ18+1)</f>
        <v>99</v>
      </c>
      <c r="AT18" s="64"/>
      <c r="AU18" s="65" t="n">
        <f aca="false">IF(AT18="#",IF(NETWORKDAYS($F$14,$F$14,Holidays!AO:AO)&lt;1,-1,0),AS18+1)</f>
        <v>100</v>
      </c>
      <c r="AV18" s="64"/>
      <c r="AW18" s="65" t="n">
        <f aca="false">IF(AV18="#",IF(NETWORKDAYS($F$14,$F$14,Holidays!AQ:AQ)&lt;1,-1,0),AU18+1)</f>
        <v>101</v>
      </c>
      <c r="AX18" s="64"/>
      <c r="AY18" s="65" t="n">
        <f aca="false">IF(AX18="#",IF(NETWORKDAYS($F$14,$F$14,Holidays!AS:AS)&lt;1,-1,0),AW18+1)</f>
        <v>102</v>
      </c>
      <c r="AZ18" s="64"/>
      <c r="BA18" s="65" t="n">
        <f aca="false">IF(AZ18="#",IF(NETWORKDAYS($F$14,$F$14,Holidays!AU:AU)&lt;1,-1,0),AY18+1)</f>
        <v>103</v>
      </c>
      <c r="BB18" s="64"/>
      <c r="BC18" s="65" t="n">
        <f aca="false">IF(BB18="#",IF(NETWORKDAYS($F$14,$F$14,Holidays!AW:AW)&lt;1,-1,0),BA18+1)</f>
        <v>104</v>
      </c>
      <c r="BD18" s="64"/>
      <c r="BE18" s="65" t="n">
        <f aca="false">IF(BD18="#",IF(NETWORKDAYS($F$14,$F$14,Holidays!AY:AY)&lt;1,-1,0),BC18+1)</f>
        <v>105</v>
      </c>
      <c r="BF18" s="64"/>
      <c r="BG18" s="65" t="n">
        <f aca="false">IF(BF18="#",IF(NETWORKDAYS($F$14,$F$14,Holidays!BA:BA)&lt;1,-1,0),BE18+1)</f>
        <v>106</v>
      </c>
      <c r="BH18" s="64"/>
      <c r="BI18" s="65" t="n">
        <f aca="false">IF(BH18="#",IF(NETWORKDAYS($F$14,$F$14,Holidays!BC:BC)&lt;1,-1,0),BG18+1)</f>
        <v>107</v>
      </c>
      <c r="BJ18" s="64"/>
      <c r="BK18" s="65" t="n">
        <f aca="false">IF(BJ18="#",IF(NETWORKDAYS($F$14,$F$14,Holidays!BE:BE)&lt;1,-1,0),BI18+1)</f>
        <v>108</v>
      </c>
      <c r="BL18" s="64"/>
      <c r="BM18" s="65" t="n">
        <f aca="false">IF(BL18="#",IF(NETWORKDAYS($F$14,$F$14,Holidays!BG:BG)&lt;1,-1,0),BK18+1)</f>
        <v>109</v>
      </c>
      <c r="BN18" s="64"/>
      <c r="BO18" s="65" t="n">
        <f aca="false">IF(BN18="#",IF(NETWORKDAYS($F$14,$F$14,Holidays!BI:BI)&lt;1,-1,0),BM18+1)</f>
        <v>110</v>
      </c>
      <c r="BP18" s="64"/>
      <c r="BQ18" s="65" t="n">
        <f aca="false">IF(BP18="#",IF(NETWORKDAYS($F$14,$F$14,Holidays!BK:BK)&lt;1,-1,0),BO18+1)</f>
        <v>111</v>
      </c>
      <c r="BR18" s="13"/>
      <c r="BS18" s="14"/>
    </row>
    <row r="19" customFormat="false" ht="16.5" hidden="false" customHeight="true" outlineLevel="0" collapsed="false">
      <c r="B19" s="40"/>
      <c r="C19" s="66" t="s">
        <v>26</v>
      </c>
      <c r="D19" s="62" t="s">
        <v>27</v>
      </c>
      <c r="E19" s="63" t="n">
        <v>45</v>
      </c>
      <c r="F19" s="64"/>
      <c r="G19" s="65" t="n">
        <f aca="false">IF(F19="#",IF(NETWORKDAYS($F$14,$F$14,Holidays!A:A)&lt;1,-1,0),E19+1)</f>
        <v>46</v>
      </c>
      <c r="H19" s="64"/>
      <c r="I19" s="65" t="n">
        <f aca="false">IF(H19="#",IF(NETWORKDAYS($F$14,$F$14,Holidays!C:C)&lt;1,-1,0),G19+1)</f>
        <v>47</v>
      </c>
      <c r="J19" s="64"/>
      <c r="K19" s="65" t="n">
        <f aca="false">IF(J19="#",IF(NETWORKDAYS($F$14,$F$14,Holidays!E:E)&lt;1,-1,0),I19+1)</f>
        <v>48</v>
      </c>
      <c r="L19" s="64"/>
      <c r="M19" s="65" t="n">
        <f aca="false">IF(L19="#",IF(NETWORKDAYS($F$14,$F$14,Holidays!G:G)&lt;1,-1,0),K19+1)</f>
        <v>49</v>
      </c>
      <c r="N19" s="64"/>
      <c r="O19" s="65" t="n">
        <f aca="false">IF(N19="#",IF(NETWORKDAYS($F$14,$F$14,Holidays!I:I)&lt;1,-1,0),M19+1)</f>
        <v>50</v>
      </c>
      <c r="P19" s="64"/>
      <c r="Q19" s="65" t="n">
        <f aca="false">IF(P19="#",IF(NETWORKDAYS($F$14,$F$14,Holidays!K:K)&lt;1,-1,0),O19+1)</f>
        <v>51</v>
      </c>
      <c r="R19" s="64"/>
      <c r="S19" s="65" t="n">
        <f aca="false">IF(R19="#",IF(NETWORKDAYS($F$14,$F$14,Holidays!M:M)&lt;1,-1,0),Q19+1)</f>
        <v>52</v>
      </c>
      <c r="T19" s="64"/>
      <c r="U19" s="65" t="n">
        <f aca="false">IF(T19="#",IF(NETWORKDAYS($F$14,$F$14,Holidays!O:O)&lt;1,-1,0),S19+1)</f>
        <v>53</v>
      </c>
      <c r="V19" s="64"/>
      <c r="W19" s="65" t="n">
        <f aca="false">IF(V19="#",IF(NETWORKDAYS($F$14,$F$14,Holidays!Q:Q)&lt;1,-1,0),U19+1)</f>
        <v>54</v>
      </c>
      <c r="X19" s="64"/>
      <c r="Y19" s="65" t="n">
        <f aca="false">IF(X19="#",IF(NETWORKDAYS($F$14,$F$14,Holidays!S:S)&lt;1,-1,0),W19+1)</f>
        <v>55</v>
      </c>
      <c r="Z19" s="64"/>
      <c r="AA19" s="65" t="n">
        <f aca="false">IF(Z19="#",IF(NETWORKDAYS($F$14,$F$14,Holidays!U:U)&lt;1,-1,0),Y19+1)</f>
        <v>56</v>
      </c>
      <c r="AB19" s="64"/>
      <c r="AC19" s="65" t="n">
        <f aca="false">IF(AB19="#",IF(NETWORKDAYS($F$14,$F$14,Holidays!W:W)&lt;1,-1,0),AA19+1)</f>
        <v>57</v>
      </c>
      <c r="AD19" s="64"/>
      <c r="AE19" s="65" t="n">
        <f aca="false">IF(AD19="#",IF(NETWORKDAYS($F$14,$F$14,Holidays!Y:Y)&lt;1,-1,0),AC19+1)</f>
        <v>58</v>
      </c>
      <c r="AF19" s="64"/>
      <c r="AG19" s="65" t="n">
        <f aca="false">IF(AF19="#",IF(NETWORKDAYS($F$14,$F$14,Holidays!AA:AA)&lt;1,-1,0),AE19+1)</f>
        <v>59</v>
      </c>
      <c r="AH19" s="64"/>
      <c r="AI19" s="65" t="n">
        <f aca="false">IF(AH19="#",IF(NETWORKDAYS($F$14,$F$14,Holidays!AC:AC)&lt;1,-1,0),AG19+1)</f>
        <v>60</v>
      </c>
      <c r="AJ19" s="64"/>
      <c r="AK19" s="65" t="n">
        <f aca="false">IF(AJ19="#",IF(NETWORKDAYS($F$14,$F$14,Holidays!AE:AE)&lt;1,-1,0),AI19+1)</f>
        <v>61</v>
      </c>
      <c r="AL19" s="64"/>
      <c r="AM19" s="65" t="n">
        <f aca="false">IF(AL19="#",IF(NETWORKDAYS($F$14,$F$14,Holidays!AG:AG)&lt;1,-1,0),AK19+1)</f>
        <v>62</v>
      </c>
      <c r="AN19" s="64"/>
      <c r="AO19" s="65" t="n">
        <f aca="false">IF(AN19="#",IF(NETWORKDAYS($F$14,$F$14,Holidays!AI:AI)&lt;1,-1,0),AM19+1)</f>
        <v>63</v>
      </c>
      <c r="AP19" s="64"/>
      <c r="AQ19" s="65" t="n">
        <f aca="false">IF(AP19="#",IF(NETWORKDAYS($F$14,$F$14,Holidays!AK:AK)&lt;1,-1,0),AO19+1)</f>
        <v>64</v>
      </c>
      <c r="AR19" s="64"/>
      <c r="AS19" s="65" t="n">
        <f aca="false">IF(AR19="#",IF(NETWORKDAYS($F$14,$F$14,Holidays!AM:AM)&lt;1,-1,0),AQ19+1)</f>
        <v>65</v>
      </c>
      <c r="AT19" s="64"/>
      <c r="AU19" s="65" t="n">
        <f aca="false">IF(AT19="#",IF(NETWORKDAYS($F$14,$F$14,Holidays!AO:AO)&lt;1,-1,0),AS19+1)</f>
        <v>66</v>
      </c>
      <c r="AV19" s="64"/>
      <c r="AW19" s="65" t="n">
        <f aca="false">IF(AV19="#",IF(NETWORKDAYS($F$14,$F$14,Holidays!AQ:AQ)&lt;1,-1,0),AU19+1)</f>
        <v>67</v>
      </c>
      <c r="AX19" s="64"/>
      <c r="AY19" s="65" t="n">
        <f aca="false">IF(AX19="#",IF(NETWORKDAYS($F$14,$F$14,Holidays!AS:AS)&lt;1,-1,0),AW19+1)</f>
        <v>68</v>
      </c>
      <c r="AZ19" s="64"/>
      <c r="BA19" s="65" t="n">
        <f aca="false">IF(AZ19="#",IF(NETWORKDAYS($F$14,$F$14,Holidays!AU:AU)&lt;1,-1,0),AY19+1)</f>
        <v>69</v>
      </c>
      <c r="BB19" s="64"/>
      <c r="BC19" s="65" t="n">
        <f aca="false">IF(BB19="#",IF(NETWORKDAYS($F$14,$F$14,Holidays!AW:AW)&lt;1,-1,0),BA19+1)</f>
        <v>70</v>
      </c>
      <c r="BD19" s="64"/>
      <c r="BE19" s="65" t="n">
        <f aca="false">IF(BD19="#",IF(NETWORKDAYS($F$14,$F$14,Holidays!AY:AY)&lt;1,-1,0),BC19+1)</f>
        <v>71</v>
      </c>
      <c r="BF19" s="64"/>
      <c r="BG19" s="65" t="n">
        <f aca="false">IF(BF19="#",IF(NETWORKDAYS($F$14,$F$14,Holidays!BA:BA)&lt;1,-1,0),BE19+1)</f>
        <v>72</v>
      </c>
      <c r="BH19" s="64"/>
      <c r="BI19" s="65" t="n">
        <f aca="false">IF(BH19="#",IF(NETWORKDAYS($F$14,$F$14,Holidays!BC:BC)&lt;1,-1,0),BG19+1)</f>
        <v>73</v>
      </c>
      <c r="BJ19" s="64"/>
      <c r="BK19" s="65" t="n">
        <f aca="false">IF(BJ19="#",IF(NETWORKDAYS($F$14,$F$14,Holidays!BE:BE)&lt;1,-1,0),BI19+1)</f>
        <v>74</v>
      </c>
      <c r="BL19" s="64"/>
      <c r="BM19" s="65" t="n">
        <f aca="false">IF(BL19="#",IF(NETWORKDAYS($F$14,$F$14,Holidays!BG:BG)&lt;1,-1,0),BK19+1)</f>
        <v>75</v>
      </c>
      <c r="BN19" s="64"/>
      <c r="BO19" s="65" t="n">
        <f aca="false">IF(BN19="#",IF(NETWORKDAYS($F$14,$F$14,Holidays!BI:BI)&lt;1,-1,0),BM19+1)</f>
        <v>76</v>
      </c>
      <c r="BP19" s="64"/>
      <c r="BQ19" s="65" t="n">
        <f aca="false">IF(BP19="#",IF(NETWORKDAYS($F$14,$F$14,Holidays!BK:BK)&lt;1,-1,0),BO19+1)</f>
        <v>77</v>
      </c>
      <c r="BR19" s="13"/>
      <c r="BS19" s="14"/>
    </row>
    <row r="20" customFormat="false" ht="16.5" hidden="false" customHeight="true" outlineLevel="0" collapsed="false">
      <c r="B20" s="40"/>
      <c r="C20" s="66" t="s">
        <v>26</v>
      </c>
      <c r="D20" s="62" t="s">
        <v>27</v>
      </c>
      <c r="E20" s="63" t="n">
        <v>48</v>
      </c>
      <c r="F20" s="64"/>
      <c r="G20" s="65" t="n">
        <f aca="false">IF(F20="#",IF(NETWORKDAYS($F$14,$F$14,Holidays!A:A)&lt;1,-1,0),E20+1)</f>
        <v>49</v>
      </c>
      <c r="H20" s="64"/>
      <c r="I20" s="65" t="n">
        <f aca="false">IF(H20="#",IF(NETWORKDAYS($F$14,$F$14,Holidays!C:C)&lt;1,-1,0),G20+1)</f>
        <v>50</v>
      </c>
      <c r="J20" s="64"/>
      <c r="K20" s="65" t="n">
        <f aca="false">IF(J20="#",IF(NETWORKDAYS($F$14,$F$14,Holidays!E:E)&lt;1,-1,0),I20+1)</f>
        <v>51</v>
      </c>
      <c r="L20" s="64"/>
      <c r="M20" s="65" t="n">
        <f aca="false">IF(L20="#",IF(NETWORKDAYS($F$14,$F$14,Holidays!G:G)&lt;1,-1,0),K20+1)</f>
        <v>52</v>
      </c>
      <c r="N20" s="64"/>
      <c r="O20" s="65" t="n">
        <f aca="false">IF(N20="#",IF(NETWORKDAYS($F$14,$F$14,Holidays!I:I)&lt;1,-1,0),M20+1)</f>
        <v>53</v>
      </c>
      <c r="P20" s="64"/>
      <c r="Q20" s="65" t="n">
        <f aca="false">IF(P20="#",IF(NETWORKDAYS($F$14,$F$14,Holidays!K:K)&lt;1,-1,0),O20+1)</f>
        <v>54</v>
      </c>
      <c r="R20" s="64"/>
      <c r="S20" s="65" t="n">
        <f aca="false">IF(R20="#",IF(NETWORKDAYS($F$14,$F$14,Holidays!M:M)&lt;1,-1,0),Q20+1)</f>
        <v>55</v>
      </c>
      <c r="T20" s="64"/>
      <c r="U20" s="65" t="n">
        <f aca="false">IF(T20="#",IF(NETWORKDAYS($F$14,$F$14,Holidays!O:O)&lt;1,-1,0),S20+1)</f>
        <v>56</v>
      </c>
      <c r="V20" s="64"/>
      <c r="W20" s="65" t="n">
        <f aca="false">IF(V20="#",IF(NETWORKDAYS($F$14,$F$14,Holidays!Q:Q)&lt;1,-1,0),U20+1)</f>
        <v>57</v>
      </c>
      <c r="X20" s="64"/>
      <c r="Y20" s="65" t="n">
        <f aca="false">IF(X20="#",IF(NETWORKDAYS($F$14,$F$14,Holidays!S:S)&lt;1,-1,0),W20+1)</f>
        <v>58</v>
      </c>
      <c r="Z20" s="64"/>
      <c r="AA20" s="65" t="n">
        <f aca="false">IF(Z20="#",IF(NETWORKDAYS($F$14,$F$14,Holidays!U:U)&lt;1,-1,0),Y20+1)</f>
        <v>59</v>
      </c>
      <c r="AB20" s="64"/>
      <c r="AC20" s="65" t="n">
        <f aca="false">IF(AB20="#",IF(NETWORKDAYS($F$14,$F$14,Holidays!W:W)&lt;1,-1,0),AA20+1)</f>
        <v>60</v>
      </c>
      <c r="AD20" s="64"/>
      <c r="AE20" s="65" t="n">
        <f aca="false">IF(AD20="#",IF(NETWORKDAYS($F$14,$F$14,Holidays!Y:Y)&lt;1,-1,0),AC20+1)</f>
        <v>61</v>
      </c>
      <c r="AF20" s="64"/>
      <c r="AG20" s="65" t="n">
        <f aca="false">IF(AF20="#",IF(NETWORKDAYS($F$14,$F$14,Holidays!AA:AA)&lt;1,-1,0),AE20+1)</f>
        <v>62</v>
      </c>
      <c r="AH20" s="64"/>
      <c r="AI20" s="65" t="n">
        <f aca="false">IF(AH20="#",IF(NETWORKDAYS($F$14,$F$14,Holidays!AC:AC)&lt;1,-1,0),AG20+1)</f>
        <v>63</v>
      </c>
      <c r="AJ20" s="64"/>
      <c r="AK20" s="65" t="n">
        <f aca="false">IF(AJ20="#",IF(NETWORKDAYS($F$14,$F$14,Holidays!AE:AE)&lt;1,-1,0),AI20+1)</f>
        <v>64</v>
      </c>
      <c r="AL20" s="64"/>
      <c r="AM20" s="65" t="n">
        <f aca="false">IF(AL20="#",IF(NETWORKDAYS($F$14,$F$14,Holidays!AG:AG)&lt;1,-1,0),AK20+1)</f>
        <v>65</v>
      </c>
      <c r="AN20" s="64"/>
      <c r="AO20" s="65" t="n">
        <f aca="false">IF(AN20="#",IF(NETWORKDAYS($F$14,$F$14,Holidays!AI:AI)&lt;1,-1,0),AM20+1)</f>
        <v>66</v>
      </c>
      <c r="AP20" s="64"/>
      <c r="AQ20" s="65" t="n">
        <f aca="false">IF(AP20="#",IF(NETWORKDAYS($F$14,$F$14,Holidays!AK:AK)&lt;1,-1,0),AO20+1)</f>
        <v>67</v>
      </c>
      <c r="AR20" s="64"/>
      <c r="AS20" s="65" t="n">
        <f aca="false">IF(AR20="#",IF(NETWORKDAYS($F$14,$F$14,Holidays!AM:AM)&lt;1,-1,0),AQ20+1)</f>
        <v>68</v>
      </c>
      <c r="AT20" s="64"/>
      <c r="AU20" s="65" t="n">
        <f aca="false">IF(AT20="#",IF(NETWORKDAYS($F$14,$F$14,Holidays!AO:AO)&lt;1,-1,0),AS20+1)</f>
        <v>69</v>
      </c>
      <c r="AV20" s="64"/>
      <c r="AW20" s="65" t="n">
        <f aca="false">IF(AV20="#",IF(NETWORKDAYS($F$14,$F$14,Holidays!AQ:AQ)&lt;1,-1,0),AU20+1)</f>
        <v>70</v>
      </c>
      <c r="AX20" s="64"/>
      <c r="AY20" s="65" t="n">
        <f aca="false">IF(AX20="#",IF(NETWORKDAYS($F$14,$F$14,Holidays!AS:AS)&lt;1,-1,0),AW20+1)</f>
        <v>71</v>
      </c>
      <c r="AZ20" s="64"/>
      <c r="BA20" s="65" t="n">
        <f aca="false">IF(AZ20="#",IF(NETWORKDAYS($F$14,$F$14,Holidays!AU:AU)&lt;1,-1,0),AY20+1)</f>
        <v>72</v>
      </c>
      <c r="BB20" s="64"/>
      <c r="BC20" s="65" t="n">
        <f aca="false">IF(BB20="#",IF(NETWORKDAYS($F$14,$F$14,Holidays!AW:AW)&lt;1,-1,0),BA20+1)</f>
        <v>73</v>
      </c>
      <c r="BD20" s="64"/>
      <c r="BE20" s="65" t="n">
        <f aca="false">IF(BD20="#",IF(NETWORKDAYS($F$14,$F$14,Holidays!AY:AY)&lt;1,-1,0),BC20+1)</f>
        <v>74</v>
      </c>
      <c r="BF20" s="64"/>
      <c r="BG20" s="65" t="n">
        <f aca="false">IF(BF20="#",IF(NETWORKDAYS($F$14,$F$14,Holidays!BA:BA)&lt;1,-1,0),BE20+1)</f>
        <v>75</v>
      </c>
      <c r="BH20" s="64"/>
      <c r="BI20" s="65" t="n">
        <f aca="false">IF(BH20="#",IF(NETWORKDAYS($F$14,$F$14,Holidays!BC:BC)&lt;1,-1,0),BG20+1)</f>
        <v>76</v>
      </c>
      <c r="BJ20" s="64"/>
      <c r="BK20" s="65" t="n">
        <f aca="false">IF(BJ20="#",IF(NETWORKDAYS($F$14,$F$14,Holidays!BE:BE)&lt;1,-1,0),BI20+1)</f>
        <v>77</v>
      </c>
      <c r="BL20" s="64"/>
      <c r="BM20" s="65" t="n">
        <f aca="false">IF(BL20="#",IF(NETWORKDAYS($F$14,$F$14,Holidays!BG:BG)&lt;1,-1,0),BK20+1)</f>
        <v>78</v>
      </c>
      <c r="BN20" s="64"/>
      <c r="BO20" s="65" t="n">
        <f aca="false">IF(BN20="#",IF(NETWORKDAYS($F$14,$F$14,Holidays!BI:BI)&lt;1,-1,0),BM20+1)</f>
        <v>79</v>
      </c>
      <c r="BP20" s="64"/>
      <c r="BQ20" s="65" t="n">
        <f aca="false">IF(BP20="#",IF(NETWORKDAYS($F$14,$F$14,Holidays!BK:BK)&lt;1,-1,0),BO20+1)</f>
        <v>80</v>
      </c>
      <c r="BR20" s="13"/>
      <c r="BS20" s="14"/>
    </row>
    <row r="21" customFormat="false" ht="16.5" hidden="false" customHeight="true" outlineLevel="0" collapsed="false">
      <c r="B21" s="40"/>
      <c r="C21" s="67" t="s">
        <v>26</v>
      </c>
      <c r="D21" s="62" t="s">
        <v>27</v>
      </c>
      <c r="E21" s="63" t="n">
        <v>81</v>
      </c>
      <c r="F21" s="64"/>
      <c r="G21" s="65" t="n">
        <f aca="false">IF(F21="#",IF(NETWORKDAYS($F$14,$F$14,Holidays!A:A)&lt;1,-1,0),E21+1)</f>
        <v>82</v>
      </c>
      <c r="H21" s="64"/>
      <c r="I21" s="65" t="n">
        <f aca="false">IF(H21="#",IF(NETWORKDAYS($F$14,$F$14,Holidays!C:C)&lt;1,-1,0),G21+1)</f>
        <v>83</v>
      </c>
      <c r="J21" s="64"/>
      <c r="K21" s="65" t="n">
        <f aca="false">IF(J21="#",IF(NETWORKDAYS($F$14,$F$14,Holidays!E:E)&lt;1,-1,0),I21+1)</f>
        <v>84</v>
      </c>
      <c r="L21" s="64"/>
      <c r="M21" s="65" t="n">
        <f aca="false">IF(L21="#",IF(NETWORKDAYS($F$14,$F$14,Holidays!G:G)&lt;1,-1,0),K21+1)</f>
        <v>85</v>
      </c>
      <c r="N21" s="64"/>
      <c r="O21" s="65" t="n">
        <f aca="false">IF(N21="#",IF(NETWORKDAYS($F$14,$F$14,Holidays!I:I)&lt;1,-1,0),M21+1)</f>
        <v>86</v>
      </c>
      <c r="P21" s="64"/>
      <c r="Q21" s="65" t="n">
        <f aca="false">IF(P21="#",IF(NETWORKDAYS($F$14,$F$14,Holidays!K:K)&lt;1,-1,0),O21+1)</f>
        <v>87</v>
      </c>
      <c r="R21" s="64"/>
      <c r="S21" s="65" t="n">
        <f aca="false">IF(R21="#",IF(NETWORKDAYS($F$14,$F$14,Holidays!M:M)&lt;1,-1,0),Q21+1)</f>
        <v>88</v>
      </c>
      <c r="T21" s="64"/>
      <c r="U21" s="65" t="n">
        <f aca="false">IF(T21="#",IF(NETWORKDAYS($F$14,$F$14,Holidays!O:O)&lt;1,-1,0),S21+1)</f>
        <v>89</v>
      </c>
      <c r="V21" s="64"/>
      <c r="W21" s="65" t="n">
        <f aca="false">IF(V21="#",IF(NETWORKDAYS($F$14,$F$14,Holidays!Q:Q)&lt;1,-1,0),U21+1)</f>
        <v>90</v>
      </c>
      <c r="X21" s="64"/>
      <c r="Y21" s="65" t="n">
        <f aca="false">IF(X21="#",IF(NETWORKDAYS($F$14,$F$14,Holidays!S:S)&lt;1,-1,0),W21+1)</f>
        <v>91</v>
      </c>
      <c r="Z21" s="64"/>
      <c r="AA21" s="65" t="n">
        <f aca="false">IF(Z21="#",IF(NETWORKDAYS($F$14,$F$14,Holidays!U:U)&lt;1,-1,0),Y21+1)</f>
        <v>92</v>
      </c>
      <c r="AB21" s="64"/>
      <c r="AC21" s="65" t="n">
        <f aca="false">IF(AB21="#",IF(NETWORKDAYS($F$14,$F$14,Holidays!W:W)&lt;1,-1,0),AA21+1)</f>
        <v>93</v>
      </c>
      <c r="AD21" s="64"/>
      <c r="AE21" s="65" t="n">
        <f aca="false">IF(AD21="#",IF(NETWORKDAYS($F$14,$F$14,Holidays!Y:Y)&lt;1,-1,0),AC21+1)</f>
        <v>94</v>
      </c>
      <c r="AF21" s="64"/>
      <c r="AG21" s="65" t="n">
        <f aca="false">IF(AF21="#",IF(NETWORKDAYS($F$14,$F$14,Holidays!AA:AA)&lt;1,-1,0),AE21+1)</f>
        <v>95</v>
      </c>
      <c r="AH21" s="64"/>
      <c r="AI21" s="65" t="n">
        <f aca="false">IF(AH21="#",IF(NETWORKDAYS($F$14,$F$14,Holidays!AC:AC)&lt;1,-1,0),AG21+1)</f>
        <v>96</v>
      </c>
      <c r="AJ21" s="64"/>
      <c r="AK21" s="65" t="n">
        <f aca="false">IF(AJ21="#",IF(NETWORKDAYS($F$14,$F$14,Holidays!AE:AE)&lt;1,-1,0),AI21+1)</f>
        <v>97</v>
      </c>
      <c r="AL21" s="64"/>
      <c r="AM21" s="65" t="n">
        <f aca="false">IF(AL21="#",IF(NETWORKDAYS($F$14,$F$14,Holidays!AG:AG)&lt;1,-1,0),AK21+1)</f>
        <v>98</v>
      </c>
      <c r="AN21" s="64"/>
      <c r="AO21" s="65" t="n">
        <f aca="false">IF(AN21="#",IF(NETWORKDAYS($F$14,$F$14,Holidays!AI:AI)&lt;1,-1,0),AM21+1)</f>
        <v>99</v>
      </c>
      <c r="AP21" s="64"/>
      <c r="AQ21" s="65" t="n">
        <f aca="false">IF(AP21="#",IF(NETWORKDAYS($F$14,$F$14,Holidays!AK:AK)&lt;1,-1,0),AO21+1)</f>
        <v>100</v>
      </c>
      <c r="AR21" s="64"/>
      <c r="AS21" s="65" t="n">
        <f aca="false">IF(AR21="#",IF(NETWORKDAYS($F$14,$F$14,Holidays!AM:AM)&lt;1,-1,0),AQ21+1)</f>
        <v>101</v>
      </c>
      <c r="AT21" s="64"/>
      <c r="AU21" s="65" t="n">
        <f aca="false">IF(AT21="#",IF(NETWORKDAYS($F$14,$F$14,Holidays!AO:AO)&lt;1,-1,0),AS21+1)</f>
        <v>102</v>
      </c>
      <c r="AV21" s="64"/>
      <c r="AW21" s="65" t="n">
        <f aca="false">IF(AV21="#",IF(NETWORKDAYS($F$14,$F$14,Holidays!AQ:AQ)&lt;1,-1,0),AU21+1)</f>
        <v>103</v>
      </c>
      <c r="AX21" s="64"/>
      <c r="AY21" s="65" t="n">
        <f aca="false">IF(AX21="#",IF(NETWORKDAYS($F$14,$F$14,Holidays!AS:AS)&lt;1,-1,0),AW21+1)</f>
        <v>104</v>
      </c>
      <c r="AZ21" s="64"/>
      <c r="BA21" s="65" t="n">
        <f aca="false">IF(AZ21="#",IF(NETWORKDAYS($F$14,$F$14,Holidays!AU:AU)&lt;1,-1,0),AY21+1)</f>
        <v>105</v>
      </c>
      <c r="BB21" s="64"/>
      <c r="BC21" s="65" t="n">
        <f aca="false">IF(BB21="#",IF(NETWORKDAYS($F$14,$F$14,Holidays!AW:AW)&lt;1,-1,0),BA21+1)</f>
        <v>106</v>
      </c>
      <c r="BD21" s="64"/>
      <c r="BE21" s="65" t="n">
        <f aca="false">IF(BD21="#",IF(NETWORKDAYS($F$14,$F$14,Holidays!AY:AY)&lt;1,-1,0),BC21+1)</f>
        <v>107</v>
      </c>
      <c r="BF21" s="64"/>
      <c r="BG21" s="65" t="n">
        <f aca="false">IF(BF21="#",IF(NETWORKDAYS($F$14,$F$14,Holidays!BA:BA)&lt;1,-1,0),BE21+1)</f>
        <v>108</v>
      </c>
      <c r="BH21" s="64"/>
      <c r="BI21" s="65" t="n">
        <f aca="false">IF(BH21="#",IF(NETWORKDAYS($F$14,$F$14,Holidays!BC:BC)&lt;1,-1,0),BG21+1)</f>
        <v>109</v>
      </c>
      <c r="BJ21" s="64"/>
      <c r="BK21" s="65" t="n">
        <f aca="false">IF(BJ21="#",IF(NETWORKDAYS($F$14,$F$14,Holidays!BE:BE)&lt;1,-1,0),BI21+1)</f>
        <v>110</v>
      </c>
      <c r="BL21" s="64"/>
      <c r="BM21" s="65" t="n">
        <f aca="false">IF(BL21="#",IF(NETWORKDAYS($F$14,$F$14,Holidays!BG:BG)&lt;1,-1,0),BK21+1)</f>
        <v>111</v>
      </c>
      <c r="BN21" s="64"/>
      <c r="BO21" s="65" t="n">
        <f aca="false">IF(BN21="#",IF(NETWORKDAYS($F$14,$F$14,Holidays!BI:BI)&lt;1,-1,0),BM21+1)</f>
        <v>112</v>
      </c>
      <c r="BP21" s="64"/>
      <c r="BQ21" s="65" t="n">
        <f aca="false">IF(BP21="#",IF(NETWORKDAYS($F$14,$F$14,Holidays!BK:BK)&lt;1,-1,0),BO21+1)</f>
        <v>113</v>
      </c>
      <c r="BR21" s="13"/>
      <c r="BS21" s="14"/>
    </row>
    <row r="22" customFormat="false" ht="16.5" hidden="false" customHeight="true" outlineLevel="0" collapsed="false">
      <c r="B22" s="40"/>
      <c r="C22" s="68" t="s">
        <v>28</v>
      </c>
      <c r="D22" s="62" t="s">
        <v>27</v>
      </c>
      <c r="E22" s="63" t="n">
        <v>81</v>
      </c>
      <c r="F22" s="64"/>
      <c r="G22" s="65" t="n">
        <f aca="false">IF(F22="#",IF(NETWORKDAYS($F$14,$F$14,Holidays!A:A)&lt;1,-1,0),E22+1)</f>
        <v>82</v>
      </c>
      <c r="H22" s="64"/>
      <c r="I22" s="65" t="n">
        <f aca="false">IF(H22="#",IF(NETWORKDAYS($F$14,$F$14,Holidays!C:C)&lt;1,-1,0),G22+1)</f>
        <v>83</v>
      </c>
      <c r="J22" s="64"/>
      <c r="K22" s="65" t="n">
        <f aca="false">IF(J22="#",IF(NETWORKDAYS($F$14,$F$14,Holidays!E:E)&lt;1,-1,0),I22+1)</f>
        <v>84</v>
      </c>
      <c r="L22" s="64"/>
      <c r="M22" s="65" t="n">
        <f aca="false">IF(L22="#",IF(NETWORKDAYS($F$14,$F$14,Holidays!G:G)&lt;1,-1,0),K22+1)</f>
        <v>85</v>
      </c>
      <c r="N22" s="64"/>
      <c r="O22" s="65" t="n">
        <f aca="false">IF(N22="#",IF(NETWORKDAYS($F$14,$F$14,Holidays!I:I)&lt;1,-1,0),M22+1)</f>
        <v>86</v>
      </c>
      <c r="P22" s="64"/>
      <c r="Q22" s="65" t="n">
        <f aca="false">IF(P22="#",IF(NETWORKDAYS($F$14,$F$14,Holidays!K:K)&lt;1,-1,0),O22+1)</f>
        <v>87</v>
      </c>
      <c r="R22" s="64"/>
      <c r="S22" s="65" t="n">
        <f aca="false">IF(R22="#",IF(NETWORKDAYS($F$14,$F$14,Holidays!M:M)&lt;1,-1,0),Q22+1)</f>
        <v>88</v>
      </c>
      <c r="T22" s="64"/>
      <c r="U22" s="65" t="n">
        <f aca="false">IF(T22="#",IF(NETWORKDAYS($F$14,$F$14,Holidays!O:O)&lt;1,-1,0),S22+1)</f>
        <v>89</v>
      </c>
      <c r="V22" s="64"/>
      <c r="W22" s="65" t="n">
        <f aca="false">IF(V22="#",IF(NETWORKDAYS($F$14,$F$14,Holidays!Q:Q)&lt;1,-1,0),U22+1)</f>
        <v>90</v>
      </c>
      <c r="X22" s="64"/>
      <c r="Y22" s="65" t="n">
        <f aca="false">IF(X22="#",IF(NETWORKDAYS($F$14,$F$14,Holidays!S:S)&lt;1,-1,0),W22+1)</f>
        <v>91</v>
      </c>
      <c r="Z22" s="64"/>
      <c r="AA22" s="65" t="n">
        <f aca="false">IF(Z22="#",IF(NETWORKDAYS($F$14,$F$14,Holidays!U:U)&lt;1,-1,0),Y22+1)</f>
        <v>92</v>
      </c>
      <c r="AB22" s="64"/>
      <c r="AC22" s="65" t="n">
        <f aca="false">IF(AB22="#",IF(NETWORKDAYS($F$14,$F$14,Holidays!W:W)&lt;1,-1,0),AA22+1)</f>
        <v>93</v>
      </c>
      <c r="AD22" s="64"/>
      <c r="AE22" s="65" t="n">
        <f aca="false">IF(AD22="#",IF(NETWORKDAYS($F$14,$F$14,Holidays!Y:Y)&lt;1,-1,0),AC22+1)</f>
        <v>94</v>
      </c>
      <c r="AF22" s="64"/>
      <c r="AG22" s="65" t="n">
        <f aca="false">IF(AF22="#",IF(NETWORKDAYS($F$14,$F$14,Holidays!AA:AA)&lt;1,-1,0),AE22+1)</f>
        <v>95</v>
      </c>
      <c r="AH22" s="64"/>
      <c r="AI22" s="65" t="n">
        <f aca="false">IF(AH22="#",IF(NETWORKDAYS($F$14,$F$14,Holidays!AC:AC)&lt;1,-1,0),AG22+1)</f>
        <v>96</v>
      </c>
      <c r="AJ22" s="64"/>
      <c r="AK22" s="65" t="n">
        <f aca="false">IF(AJ22="#",IF(NETWORKDAYS($F$14,$F$14,Holidays!AE:AE)&lt;1,-1,0),AI22+1)</f>
        <v>97</v>
      </c>
      <c r="AL22" s="64"/>
      <c r="AM22" s="65" t="n">
        <f aca="false">IF(AL22="#",IF(NETWORKDAYS($F$14,$F$14,Holidays!AG:AG)&lt;1,-1,0),AK22+1)</f>
        <v>98</v>
      </c>
      <c r="AN22" s="64"/>
      <c r="AO22" s="65" t="n">
        <f aca="false">IF(AN22="#",IF(NETWORKDAYS($F$14,$F$14,Holidays!AI:AI)&lt;1,-1,0),AM22+1)</f>
        <v>99</v>
      </c>
      <c r="AP22" s="64"/>
      <c r="AQ22" s="65" t="n">
        <f aca="false">IF(AP22="#",IF(NETWORKDAYS($F$14,$F$14,Holidays!AK:AK)&lt;1,-1,0),AO22+1)</f>
        <v>100</v>
      </c>
      <c r="AR22" s="64"/>
      <c r="AS22" s="65" t="n">
        <f aca="false">IF(AR22="#",IF(NETWORKDAYS($F$14,$F$14,Holidays!AM:AM)&lt;1,-1,0),AQ22+1)</f>
        <v>101</v>
      </c>
      <c r="AT22" s="64"/>
      <c r="AU22" s="65" t="n">
        <f aca="false">IF(AT22="#",IF(NETWORKDAYS($F$14,$F$14,Holidays!AO:AO)&lt;1,-1,0),AS22+1)</f>
        <v>102</v>
      </c>
      <c r="AV22" s="64"/>
      <c r="AW22" s="65" t="n">
        <f aca="false">IF(AV22="#",IF(NETWORKDAYS($F$14,$F$14,Holidays!AQ:AQ)&lt;1,-1,0),AU22+1)</f>
        <v>103</v>
      </c>
      <c r="AX22" s="64"/>
      <c r="AY22" s="65" t="n">
        <f aca="false">IF(AX22="#",IF(NETWORKDAYS($F$14,$F$14,Holidays!AS:AS)&lt;1,-1,0),AW22+1)</f>
        <v>104</v>
      </c>
      <c r="AZ22" s="64"/>
      <c r="BA22" s="65" t="n">
        <f aca="false">IF(AZ22="#",IF(NETWORKDAYS($F$14,$F$14,Holidays!AU:AU)&lt;1,-1,0),AY22+1)</f>
        <v>105</v>
      </c>
      <c r="BB22" s="64"/>
      <c r="BC22" s="65" t="n">
        <f aca="false">IF(BB22="#",IF(NETWORKDAYS($F$14,$F$14,Holidays!AW:AW)&lt;1,-1,0),BA22+1)</f>
        <v>106</v>
      </c>
      <c r="BD22" s="64"/>
      <c r="BE22" s="65" t="n">
        <f aca="false">IF(BD22="#",IF(NETWORKDAYS($F$14,$F$14,Holidays!AY:AY)&lt;1,-1,0),BC22+1)</f>
        <v>107</v>
      </c>
      <c r="BF22" s="64"/>
      <c r="BG22" s="65" t="n">
        <f aca="false">IF(BF22="#",IF(NETWORKDAYS($F$14,$F$14,Holidays!BA:BA)&lt;1,-1,0),BE22+1)</f>
        <v>108</v>
      </c>
      <c r="BH22" s="64"/>
      <c r="BI22" s="65" t="n">
        <f aca="false">IF(BH22="#",IF(NETWORKDAYS($F$14,$F$14,Holidays!BC:BC)&lt;1,-1,0),BG22+1)</f>
        <v>109</v>
      </c>
      <c r="BJ22" s="64"/>
      <c r="BK22" s="65" t="n">
        <f aca="false">IF(BJ22="#",IF(NETWORKDAYS($F$14,$F$14,Holidays!BE:BE)&lt;1,-1,0),BI22+1)</f>
        <v>110</v>
      </c>
      <c r="BL22" s="64"/>
      <c r="BM22" s="65" t="n">
        <f aca="false">IF(BL22="#",IF(NETWORKDAYS($F$14,$F$14,Holidays!BG:BG)&lt;1,-1,0),BK22+1)</f>
        <v>111</v>
      </c>
      <c r="BN22" s="64"/>
      <c r="BO22" s="65" t="n">
        <f aca="false">IF(BN22="#",IF(NETWORKDAYS($F$14,$F$14,Holidays!BI:BI)&lt;1,-1,0),BM22+1)</f>
        <v>112</v>
      </c>
      <c r="BP22" s="64"/>
      <c r="BQ22" s="65" t="n">
        <f aca="false">IF(BP22="#",IF(NETWORKDAYS($F$14,$F$14,Holidays!BK:BK)&lt;1,-1,0),BO22+1)</f>
        <v>113</v>
      </c>
      <c r="BR22" s="13"/>
      <c r="BS22" s="14"/>
    </row>
    <row r="23" customFormat="false" ht="16.5" hidden="false" customHeight="true" outlineLevel="0" collapsed="false">
      <c r="A23" s="69"/>
      <c r="B23" s="70"/>
      <c r="C23" s="66" t="s">
        <v>28</v>
      </c>
      <c r="D23" s="62" t="s">
        <v>27</v>
      </c>
      <c r="E23" s="63" t="n">
        <v>-100</v>
      </c>
      <c r="F23" s="64"/>
      <c r="G23" s="65" t="n">
        <f aca="false">IF(F23="#",IF(NETWORKDAYS($F$14,$F$14,Holidays!A:A)&lt;1,-1,0),E23+1)</f>
        <v>-99</v>
      </c>
      <c r="H23" s="64"/>
      <c r="I23" s="65" t="n">
        <f aca="false">IF(H23="#",IF(NETWORKDAYS($F$14,$F$14,Holidays!C:C)&lt;1,-1,0),G23+1)</f>
        <v>-98</v>
      </c>
      <c r="J23" s="64"/>
      <c r="K23" s="65" t="n">
        <f aca="false">IF(J23="#",IF(NETWORKDAYS($F$14,$F$14,Holidays!E:E)&lt;1,-1,0),I23+1)</f>
        <v>-97</v>
      </c>
      <c r="L23" s="64"/>
      <c r="M23" s="65" t="n">
        <f aca="false">IF(L23="#",IF(NETWORKDAYS($F$14,$F$14,Holidays!G:G)&lt;1,-1,0),K23+1)</f>
        <v>-96</v>
      </c>
      <c r="N23" s="64"/>
      <c r="O23" s="65" t="n">
        <f aca="false">IF(N23="#",IF(NETWORKDAYS($F$14,$F$14,Holidays!I:I)&lt;1,-1,0),M23+1)</f>
        <v>-95</v>
      </c>
      <c r="P23" s="64"/>
      <c r="Q23" s="65" t="n">
        <f aca="false">IF(P23="#",IF(NETWORKDAYS($F$14,$F$14,Holidays!K:K)&lt;1,-1,0),O23+1)</f>
        <v>-94</v>
      </c>
      <c r="R23" s="64"/>
      <c r="S23" s="65" t="n">
        <f aca="false">IF(R23="#",IF(NETWORKDAYS($F$14,$F$14,Holidays!M:M)&lt;1,-1,0),Q23+1)</f>
        <v>-93</v>
      </c>
      <c r="T23" s="64"/>
      <c r="U23" s="65" t="n">
        <f aca="false">IF(T23="#",IF(NETWORKDAYS($F$14,$F$14,Holidays!O:O)&lt;1,-1,0),S23+1)</f>
        <v>-92</v>
      </c>
      <c r="V23" s="64"/>
      <c r="W23" s="65" t="n">
        <f aca="false">IF(V23="#",IF(NETWORKDAYS($F$14,$F$14,Holidays!Q:Q)&lt;1,-1,0),U23+1)</f>
        <v>-91</v>
      </c>
      <c r="X23" s="64"/>
      <c r="Y23" s="65" t="n">
        <f aca="false">IF(X23="#",IF(NETWORKDAYS($F$14,$F$14,Holidays!S:S)&lt;1,-1,0),W23+1)</f>
        <v>-90</v>
      </c>
      <c r="Z23" s="64"/>
      <c r="AA23" s="65" t="n">
        <f aca="false">IF(Z23="#",IF(NETWORKDAYS($F$14,$F$14,Holidays!U:U)&lt;1,-1,0),Y23+1)</f>
        <v>-89</v>
      </c>
      <c r="AB23" s="64"/>
      <c r="AC23" s="65" t="n">
        <f aca="false">IF(AB23="#",IF(NETWORKDAYS($F$14,$F$14,Holidays!W:W)&lt;1,-1,0),AA23+1)</f>
        <v>-88</v>
      </c>
      <c r="AD23" s="64"/>
      <c r="AE23" s="65" t="n">
        <f aca="false">IF(AD23="#",IF(NETWORKDAYS($F$14,$F$14,Holidays!Y:Y)&lt;1,-1,0),AC23+1)</f>
        <v>-87</v>
      </c>
      <c r="AF23" s="64"/>
      <c r="AG23" s="65" t="n">
        <f aca="false">IF(AF23="#",IF(NETWORKDAYS($F$14,$F$14,Holidays!AA:AA)&lt;1,-1,0),AE23+1)</f>
        <v>-86</v>
      </c>
      <c r="AH23" s="64"/>
      <c r="AI23" s="65" t="n">
        <f aca="false">IF(AH23="#",IF(NETWORKDAYS($F$14,$F$14,Holidays!AC:AC)&lt;1,-1,0),AG23+1)</f>
        <v>-85</v>
      </c>
      <c r="AJ23" s="64"/>
      <c r="AK23" s="65" t="n">
        <f aca="false">IF(AJ23="#",IF(NETWORKDAYS($F$14,$F$14,Holidays!AE:AE)&lt;1,-1,0),AI23+1)</f>
        <v>-84</v>
      </c>
      <c r="AL23" s="64"/>
      <c r="AM23" s="65" t="n">
        <f aca="false">IF(AL23="#",IF(NETWORKDAYS($F$14,$F$14,Holidays!AG:AG)&lt;1,-1,0),AK23+1)</f>
        <v>-83</v>
      </c>
      <c r="AN23" s="64"/>
      <c r="AO23" s="65" t="n">
        <f aca="false">IF(AN23="#",IF(NETWORKDAYS($F$14,$F$14,Holidays!AI:AI)&lt;1,-1,0),AM23+1)</f>
        <v>-82</v>
      </c>
      <c r="AP23" s="64"/>
      <c r="AQ23" s="65" t="n">
        <f aca="false">IF(AP23="#",IF(NETWORKDAYS($F$14,$F$14,Holidays!AK:AK)&lt;1,-1,0),AO23+1)</f>
        <v>-81</v>
      </c>
      <c r="AR23" s="64"/>
      <c r="AS23" s="65" t="n">
        <f aca="false">IF(AR23="#",IF(NETWORKDAYS($F$14,$F$14,Holidays!AM:AM)&lt;1,-1,0),AQ23+1)</f>
        <v>-80</v>
      </c>
      <c r="AT23" s="64"/>
      <c r="AU23" s="65" t="n">
        <f aca="false">IF(AT23="#",IF(NETWORKDAYS($F$14,$F$14,Holidays!AO:AO)&lt;1,-1,0),AS23+1)</f>
        <v>-79</v>
      </c>
      <c r="AV23" s="64"/>
      <c r="AW23" s="65" t="n">
        <f aca="false">IF(AV23="#",IF(NETWORKDAYS($F$14,$F$14,Holidays!AQ:AQ)&lt;1,-1,0),AU23+1)</f>
        <v>-78</v>
      </c>
      <c r="AX23" s="64"/>
      <c r="AY23" s="65" t="n">
        <f aca="false">IF(AX23="#",IF(NETWORKDAYS($F$14,$F$14,Holidays!AS:AS)&lt;1,-1,0),AW23+1)</f>
        <v>-77</v>
      </c>
      <c r="AZ23" s="64"/>
      <c r="BA23" s="65" t="n">
        <f aca="false">IF(AZ23="#",IF(NETWORKDAYS($F$14,$F$14,Holidays!AU:AU)&lt;1,-1,0),AY23+1)</f>
        <v>-76</v>
      </c>
      <c r="BB23" s="64"/>
      <c r="BC23" s="65" t="n">
        <f aca="false">IF(BB23="#",IF(NETWORKDAYS($F$14,$F$14,Holidays!AW:AW)&lt;1,-1,0),BA23+1)</f>
        <v>-75</v>
      </c>
      <c r="BD23" s="64"/>
      <c r="BE23" s="65" t="n">
        <f aca="false">IF(BD23="#",IF(NETWORKDAYS($F$14,$F$14,Holidays!AY:AY)&lt;1,-1,0),BC23+1)</f>
        <v>-74</v>
      </c>
      <c r="BF23" s="64"/>
      <c r="BG23" s="65" t="n">
        <f aca="false">IF(BF23="#",IF(NETWORKDAYS($F$14,$F$14,Holidays!BA:BA)&lt;1,-1,0),BE23+1)</f>
        <v>-73</v>
      </c>
      <c r="BH23" s="64"/>
      <c r="BI23" s="65" t="n">
        <f aca="false">IF(BH23="#",IF(NETWORKDAYS($F$14,$F$14,Holidays!BC:BC)&lt;1,-1,0),BG23+1)</f>
        <v>-72</v>
      </c>
      <c r="BJ23" s="64"/>
      <c r="BK23" s="65" t="n">
        <f aca="false">IF(BJ23="#",IF(NETWORKDAYS($F$14,$F$14,Holidays!BE:BE)&lt;1,-1,0),BI23+1)</f>
        <v>-71</v>
      </c>
      <c r="BL23" s="64"/>
      <c r="BM23" s="65" t="n">
        <f aca="false">IF(BL23="#",IF(NETWORKDAYS($F$14,$F$14,Holidays!BG:BG)&lt;1,-1,0),BK23+1)</f>
        <v>-70</v>
      </c>
      <c r="BN23" s="64"/>
      <c r="BO23" s="65" t="n">
        <f aca="false">IF(BN23="#",IF(NETWORKDAYS($F$14,$F$14,Holidays!BI:BI)&lt;1,-1,0),BM23+1)</f>
        <v>-69</v>
      </c>
      <c r="BP23" s="64"/>
      <c r="BQ23" s="65" t="n">
        <f aca="false">IF(BP23="#",IF(NETWORKDAYS($F$14,$F$14,Holidays!BK:BK)&lt;1,-1,0),BO23+1)</f>
        <v>-68</v>
      </c>
      <c r="BR23" s="71"/>
      <c r="BS23" s="72"/>
    </row>
    <row r="24" customFormat="false" ht="16.5" hidden="false" customHeight="true" outlineLevel="0" collapsed="false">
      <c r="B24" s="40"/>
      <c r="C24" s="66" t="s">
        <v>28</v>
      </c>
      <c r="D24" s="62" t="s">
        <v>27</v>
      </c>
      <c r="E24" s="63" t="n">
        <v>-1</v>
      </c>
      <c r="F24" s="64"/>
      <c r="G24" s="65" t="n">
        <f aca="false">IF(F24="#",IF(NETWORKDAYS($F$14,$F$14,Holidays!A:A)&lt;1,-1,0),E24+1)</f>
        <v>0</v>
      </c>
      <c r="H24" s="64"/>
      <c r="I24" s="65" t="n">
        <f aca="false">IF(H24="#",IF(NETWORKDAYS($F$14,$F$14,Holidays!C:C)&lt;1,-1,0),G24+1)</f>
        <v>1</v>
      </c>
      <c r="J24" s="64"/>
      <c r="K24" s="65" t="n">
        <f aca="false">IF(J24="#",IF(NETWORKDAYS($F$14,$F$14,Holidays!E:E)&lt;1,-1,0),I24+1)</f>
        <v>2</v>
      </c>
      <c r="L24" s="64"/>
      <c r="M24" s="65" t="n">
        <f aca="false">IF(L24="#",IF(NETWORKDAYS($F$14,$F$14,Holidays!G:G)&lt;1,-1,0),K24+1)</f>
        <v>3</v>
      </c>
      <c r="N24" s="64"/>
      <c r="O24" s="65" t="n">
        <f aca="false">IF(N24="#",IF(NETWORKDAYS($F$14,$F$14,Holidays!I:I)&lt;1,-1,0),M24+1)</f>
        <v>4</v>
      </c>
      <c r="P24" s="64"/>
      <c r="Q24" s="65" t="n">
        <f aca="false">IF(P24="#",IF(NETWORKDAYS($F$14,$F$14,Holidays!K:K)&lt;1,-1,0),O24+1)</f>
        <v>5</v>
      </c>
      <c r="R24" s="64"/>
      <c r="S24" s="65" t="n">
        <f aca="false">IF(R24="#",IF(NETWORKDAYS($F$14,$F$14,Holidays!M:M)&lt;1,-1,0),Q24+1)</f>
        <v>6</v>
      </c>
      <c r="T24" s="64"/>
      <c r="U24" s="65" t="n">
        <f aca="false">IF(T24="#",IF(NETWORKDAYS($F$14,$F$14,Holidays!O:O)&lt;1,-1,0),S24+1)</f>
        <v>7</v>
      </c>
      <c r="V24" s="64"/>
      <c r="W24" s="65" t="n">
        <f aca="false">IF(V24="#",IF(NETWORKDAYS($F$14,$F$14,Holidays!Q:Q)&lt;1,-1,0),U24+1)</f>
        <v>8</v>
      </c>
      <c r="X24" s="64"/>
      <c r="Y24" s="65" t="n">
        <f aca="false">IF(X24="#",IF(NETWORKDAYS($F$14,$F$14,Holidays!S:S)&lt;1,-1,0),W24+1)</f>
        <v>9</v>
      </c>
      <c r="Z24" s="64"/>
      <c r="AA24" s="65" t="n">
        <f aca="false">IF(Z24="#",IF(NETWORKDAYS($F$14,$F$14,Holidays!U:U)&lt;1,-1,0),Y24+1)</f>
        <v>10</v>
      </c>
      <c r="AB24" s="64"/>
      <c r="AC24" s="65" t="n">
        <f aca="false">IF(AB24="#",IF(NETWORKDAYS($F$14,$F$14,Holidays!W:W)&lt;1,-1,0),AA24+1)</f>
        <v>11</v>
      </c>
      <c r="AD24" s="64"/>
      <c r="AE24" s="65" t="n">
        <f aca="false">IF(AD24="#",IF(NETWORKDAYS($F$14,$F$14,Holidays!Y:Y)&lt;1,-1,0),AC24+1)</f>
        <v>12</v>
      </c>
      <c r="AF24" s="64"/>
      <c r="AG24" s="65" t="n">
        <f aca="false">IF(AF24="#",IF(NETWORKDAYS($F$14,$F$14,Holidays!AA:AA)&lt;1,-1,0),AE24+1)</f>
        <v>13</v>
      </c>
      <c r="AH24" s="64"/>
      <c r="AI24" s="65" t="n">
        <f aca="false">IF(AH24="#",IF(NETWORKDAYS($F$14,$F$14,Holidays!AC:AC)&lt;1,-1,0),AG24+1)</f>
        <v>14</v>
      </c>
      <c r="AJ24" s="64"/>
      <c r="AK24" s="65" t="n">
        <f aca="false">IF(AJ24="#",IF(NETWORKDAYS($F$14,$F$14,Holidays!AE:AE)&lt;1,-1,0),AI24+1)</f>
        <v>15</v>
      </c>
      <c r="AL24" s="64"/>
      <c r="AM24" s="65" t="n">
        <f aca="false">IF(AL24="#",IF(NETWORKDAYS($F$14,$F$14,Holidays!AG:AG)&lt;1,-1,0),AK24+1)</f>
        <v>16</v>
      </c>
      <c r="AN24" s="64"/>
      <c r="AO24" s="65" t="n">
        <f aca="false">IF(AN24="#",IF(NETWORKDAYS($F$14,$F$14,Holidays!AI:AI)&lt;1,-1,0),AM24+1)</f>
        <v>17</v>
      </c>
      <c r="AP24" s="64"/>
      <c r="AQ24" s="65" t="n">
        <f aca="false">IF(AP24="#",IF(NETWORKDAYS($F$14,$F$14,Holidays!AK:AK)&lt;1,-1,0),AO24+1)</f>
        <v>18</v>
      </c>
      <c r="AR24" s="64"/>
      <c r="AS24" s="65" t="n">
        <f aca="false">IF(AR24="#",IF(NETWORKDAYS($F$14,$F$14,Holidays!AM:AM)&lt;1,-1,0),AQ24+1)</f>
        <v>19</v>
      </c>
      <c r="AT24" s="64"/>
      <c r="AU24" s="65" t="n">
        <f aca="false">IF(AT24="#",IF(NETWORKDAYS($F$14,$F$14,Holidays!AO:AO)&lt;1,-1,0),AS24+1)</f>
        <v>20</v>
      </c>
      <c r="AV24" s="64"/>
      <c r="AW24" s="65" t="n">
        <f aca="false">IF(AV24="#",IF(NETWORKDAYS($F$14,$F$14,Holidays!AQ:AQ)&lt;1,-1,0),AU24+1)</f>
        <v>21</v>
      </c>
      <c r="AX24" s="64"/>
      <c r="AY24" s="65" t="n">
        <f aca="false">IF(AX24="#",IF(NETWORKDAYS($F$14,$F$14,Holidays!AS:AS)&lt;1,-1,0),AW24+1)</f>
        <v>22</v>
      </c>
      <c r="AZ24" s="64"/>
      <c r="BA24" s="65" t="n">
        <f aca="false">IF(AZ24="#",IF(NETWORKDAYS($F$14,$F$14,Holidays!AU:AU)&lt;1,-1,0),AY24+1)</f>
        <v>23</v>
      </c>
      <c r="BB24" s="64"/>
      <c r="BC24" s="65" t="n">
        <f aca="false">IF(BB24="#",IF(NETWORKDAYS($F$14,$F$14,Holidays!AW:AW)&lt;1,-1,0),BA24+1)</f>
        <v>24</v>
      </c>
      <c r="BD24" s="64"/>
      <c r="BE24" s="65" t="n">
        <f aca="false">IF(BD24="#",IF(NETWORKDAYS($F$14,$F$14,Holidays!AY:AY)&lt;1,-1,0),BC24+1)</f>
        <v>25</v>
      </c>
      <c r="BF24" s="64"/>
      <c r="BG24" s="65" t="n">
        <f aca="false">IF(BF24="#",IF(NETWORKDAYS($F$14,$F$14,Holidays!BA:BA)&lt;1,-1,0),BE24+1)</f>
        <v>26</v>
      </c>
      <c r="BH24" s="64"/>
      <c r="BI24" s="65" t="n">
        <f aca="false">IF(BH24="#",IF(NETWORKDAYS($F$14,$F$14,Holidays!BC:BC)&lt;1,-1,0),BG24+1)</f>
        <v>27</v>
      </c>
      <c r="BJ24" s="64"/>
      <c r="BK24" s="65" t="n">
        <f aca="false">IF(BJ24="#",IF(NETWORKDAYS($F$14,$F$14,Holidays!BE:BE)&lt;1,-1,0),BI24+1)</f>
        <v>28</v>
      </c>
      <c r="BL24" s="64"/>
      <c r="BM24" s="65" t="n">
        <f aca="false">IF(BL24="#",IF(NETWORKDAYS($F$14,$F$14,Holidays!BG:BG)&lt;1,-1,0),BK24+1)</f>
        <v>29</v>
      </c>
      <c r="BN24" s="64"/>
      <c r="BO24" s="65" t="n">
        <f aca="false">IF(BN24="#",IF(NETWORKDAYS($F$14,$F$14,Holidays!BI:BI)&lt;1,-1,0),BM24+1)</f>
        <v>30</v>
      </c>
      <c r="BP24" s="64"/>
      <c r="BQ24" s="65" t="n">
        <f aca="false">IF(BP24="#",IF(NETWORKDAYS($F$14,$F$14,Holidays!BK:BK)&lt;1,-1,0),BO24+1)</f>
        <v>31</v>
      </c>
      <c r="BR24" s="13"/>
      <c r="BS24" s="14"/>
    </row>
    <row r="25" customFormat="false" ht="16.5" hidden="false" customHeight="true" outlineLevel="0" collapsed="false">
      <c r="B25" s="40"/>
      <c r="C25" s="66" t="s">
        <v>28</v>
      </c>
      <c r="D25" s="62" t="s">
        <v>27</v>
      </c>
      <c r="E25" s="63" t="n">
        <v>61</v>
      </c>
      <c r="F25" s="64"/>
      <c r="G25" s="65" t="n">
        <f aca="false">IF(F25="#",IF(NETWORKDAYS($F$14,$F$14,Holidays!A:A)&lt;1,-1,0),E25+1)</f>
        <v>62</v>
      </c>
      <c r="H25" s="64"/>
      <c r="I25" s="65" t="n">
        <f aca="false">IF(H25="#",IF(NETWORKDAYS($F$14,$F$14,Holidays!C:C)&lt;1,-1,0),G25+1)</f>
        <v>63</v>
      </c>
      <c r="J25" s="64"/>
      <c r="K25" s="65" t="n">
        <f aca="false">IF(J25="#",IF(NETWORKDAYS($F$14,$F$14,Holidays!E:E)&lt;1,-1,0),I25+1)</f>
        <v>64</v>
      </c>
      <c r="L25" s="64"/>
      <c r="M25" s="65" t="n">
        <f aca="false">IF(L25="#",IF(NETWORKDAYS($F$14,$F$14,Holidays!G:G)&lt;1,-1,0),K25+1)</f>
        <v>65</v>
      </c>
      <c r="N25" s="64"/>
      <c r="O25" s="65" t="n">
        <f aca="false">IF(N25="#",IF(NETWORKDAYS($F$14,$F$14,Holidays!I:I)&lt;1,-1,0),M25+1)</f>
        <v>66</v>
      </c>
      <c r="P25" s="64"/>
      <c r="Q25" s="65" t="n">
        <f aca="false">IF(P25="#",IF(NETWORKDAYS($F$14,$F$14,Holidays!K:K)&lt;1,-1,0),O25+1)</f>
        <v>67</v>
      </c>
      <c r="R25" s="64"/>
      <c r="S25" s="65" t="n">
        <f aca="false">IF(R25="#",IF(NETWORKDAYS($F$14,$F$14,Holidays!M:M)&lt;1,-1,0),Q25+1)</f>
        <v>68</v>
      </c>
      <c r="T25" s="64"/>
      <c r="U25" s="65" t="n">
        <f aca="false">IF(T25="#",IF(NETWORKDAYS($F$14,$F$14,Holidays!O:O)&lt;1,-1,0),S25+1)</f>
        <v>69</v>
      </c>
      <c r="V25" s="64"/>
      <c r="W25" s="65" t="n">
        <f aca="false">IF(V25="#",IF(NETWORKDAYS($F$14,$F$14,Holidays!Q:Q)&lt;1,-1,0),U25+1)</f>
        <v>70</v>
      </c>
      <c r="X25" s="64"/>
      <c r="Y25" s="65" t="n">
        <f aca="false">IF(X25="#",IF(NETWORKDAYS($F$14,$F$14,Holidays!S:S)&lt;1,-1,0),W25+1)</f>
        <v>71</v>
      </c>
      <c r="Z25" s="64"/>
      <c r="AA25" s="65" t="n">
        <f aca="false">IF(Z25="#",IF(NETWORKDAYS($F$14,$F$14,Holidays!U:U)&lt;1,-1,0),Y25+1)</f>
        <v>72</v>
      </c>
      <c r="AB25" s="64"/>
      <c r="AC25" s="65" t="n">
        <f aca="false">IF(AB25="#",IF(NETWORKDAYS($F$14,$F$14,Holidays!W:W)&lt;1,-1,0),AA25+1)</f>
        <v>73</v>
      </c>
      <c r="AD25" s="64"/>
      <c r="AE25" s="65" t="n">
        <f aca="false">IF(AD25="#",IF(NETWORKDAYS($F$14,$F$14,Holidays!Y:Y)&lt;1,-1,0),AC25+1)</f>
        <v>74</v>
      </c>
      <c r="AF25" s="64"/>
      <c r="AG25" s="65" t="n">
        <f aca="false">IF(AF25="#",IF(NETWORKDAYS($F$14,$F$14,Holidays!AA:AA)&lt;1,-1,0),AE25+1)</f>
        <v>75</v>
      </c>
      <c r="AH25" s="64"/>
      <c r="AI25" s="65" t="n">
        <f aca="false">IF(AH25="#",IF(NETWORKDAYS($F$14,$F$14,Holidays!AC:AC)&lt;1,-1,0),AG25+1)</f>
        <v>76</v>
      </c>
      <c r="AJ25" s="64"/>
      <c r="AK25" s="65" t="n">
        <f aca="false">IF(AJ25="#",IF(NETWORKDAYS($F$14,$F$14,Holidays!AE:AE)&lt;1,-1,0),AI25+1)</f>
        <v>77</v>
      </c>
      <c r="AL25" s="64"/>
      <c r="AM25" s="65" t="n">
        <f aca="false">IF(AL25="#",IF(NETWORKDAYS($F$14,$F$14,Holidays!AG:AG)&lt;1,-1,0),AK25+1)</f>
        <v>78</v>
      </c>
      <c r="AN25" s="64"/>
      <c r="AO25" s="65" t="n">
        <f aca="false">IF(AN25="#",IF(NETWORKDAYS($F$14,$F$14,Holidays!AI:AI)&lt;1,-1,0),AM25+1)</f>
        <v>79</v>
      </c>
      <c r="AP25" s="64"/>
      <c r="AQ25" s="65" t="n">
        <f aca="false">IF(AP25="#",IF(NETWORKDAYS($F$14,$F$14,Holidays!AK:AK)&lt;1,-1,0),AO25+1)</f>
        <v>80</v>
      </c>
      <c r="AR25" s="64"/>
      <c r="AS25" s="65" t="n">
        <f aca="false">IF(AR25="#",IF(NETWORKDAYS($F$14,$F$14,Holidays!AM:AM)&lt;1,-1,0),AQ25+1)</f>
        <v>81</v>
      </c>
      <c r="AT25" s="64"/>
      <c r="AU25" s="65" t="n">
        <f aca="false">IF(AT25="#",IF(NETWORKDAYS($F$14,$F$14,Holidays!AO:AO)&lt;1,-1,0),AS25+1)</f>
        <v>82</v>
      </c>
      <c r="AV25" s="64"/>
      <c r="AW25" s="65" t="n">
        <f aca="false">IF(AV25="#",IF(NETWORKDAYS($F$14,$F$14,Holidays!AQ:AQ)&lt;1,-1,0),AU25+1)</f>
        <v>83</v>
      </c>
      <c r="AX25" s="64"/>
      <c r="AY25" s="65" t="n">
        <f aca="false">IF(AX25="#",IF(NETWORKDAYS($F$14,$F$14,Holidays!AS:AS)&lt;1,-1,0),AW25+1)</f>
        <v>84</v>
      </c>
      <c r="AZ25" s="64"/>
      <c r="BA25" s="65" t="n">
        <f aca="false">IF(AZ25="#",IF(NETWORKDAYS($F$14,$F$14,Holidays!AU:AU)&lt;1,-1,0),AY25+1)</f>
        <v>85</v>
      </c>
      <c r="BB25" s="64"/>
      <c r="BC25" s="65" t="n">
        <f aca="false">IF(BB25="#",IF(NETWORKDAYS($F$14,$F$14,Holidays!AW:AW)&lt;1,-1,0),BA25+1)</f>
        <v>86</v>
      </c>
      <c r="BD25" s="64"/>
      <c r="BE25" s="65" t="n">
        <f aca="false">IF(BD25="#",IF(NETWORKDAYS($F$14,$F$14,Holidays!AY:AY)&lt;1,-1,0),BC25+1)</f>
        <v>87</v>
      </c>
      <c r="BF25" s="64"/>
      <c r="BG25" s="65" t="n">
        <f aca="false">IF(BF25="#",IF(NETWORKDAYS($F$14,$F$14,Holidays!BA:BA)&lt;1,-1,0),BE25+1)</f>
        <v>88</v>
      </c>
      <c r="BH25" s="64"/>
      <c r="BI25" s="65" t="n">
        <f aca="false">IF(BH25="#",IF(NETWORKDAYS($F$14,$F$14,Holidays!BC:BC)&lt;1,-1,0),BG25+1)</f>
        <v>89</v>
      </c>
      <c r="BJ25" s="64"/>
      <c r="BK25" s="65" t="n">
        <f aca="false">IF(BJ25="#",IF(NETWORKDAYS($F$14,$F$14,Holidays!BE:BE)&lt;1,-1,0),BI25+1)</f>
        <v>90</v>
      </c>
      <c r="BL25" s="64"/>
      <c r="BM25" s="65" t="n">
        <f aca="false">IF(BL25="#",IF(NETWORKDAYS($F$14,$F$14,Holidays!BG:BG)&lt;1,-1,0),BK25+1)</f>
        <v>91</v>
      </c>
      <c r="BN25" s="64"/>
      <c r="BO25" s="65" t="n">
        <f aca="false">IF(BN25="#",IF(NETWORKDAYS($F$14,$F$14,Holidays!BI:BI)&lt;1,-1,0),BM25+1)</f>
        <v>92</v>
      </c>
      <c r="BP25" s="64"/>
      <c r="BQ25" s="65" t="n">
        <f aca="false">IF(BP25="#",IF(NETWORKDAYS($F$14,$F$14,Holidays!BK:BK)&lt;1,-1,0),BO25+1)</f>
        <v>93</v>
      </c>
      <c r="BR25" s="13"/>
      <c r="BS25" s="14"/>
    </row>
    <row r="26" customFormat="false" ht="16.5" hidden="false" customHeight="true" outlineLevel="0" collapsed="false">
      <c r="B26" s="40"/>
      <c r="C26" s="66" t="s">
        <v>28</v>
      </c>
      <c r="D26" s="62" t="s">
        <v>27</v>
      </c>
      <c r="E26" s="63" t="n">
        <v>73</v>
      </c>
      <c r="F26" s="64"/>
      <c r="G26" s="65" t="n">
        <f aca="false">IF(F26="#",IF(NETWORKDAYS($F$14,$F$14,Holidays!A:A)&lt;1,-1,0),E26+1)</f>
        <v>74</v>
      </c>
      <c r="H26" s="64"/>
      <c r="I26" s="65" t="n">
        <f aca="false">IF(H26="#",IF(NETWORKDAYS($F$14,$F$14,Holidays!C:C)&lt;1,-1,0),G26+1)</f>
        <v>75</v>
      </c>
      <c r="J26" s="64"/>
      <c r="K26" s="65" t="n">
        <f aca="false">IF(J26="#",IF(NETWORKDAYS($F$14,$F$14,Holidays!E:E)&lt;1,-1,0),I26+1)</f>
        <v>76</v>
      </c>
      <c r="L26" s="64"/>
      <c r="M26" s="65" t="n">
        <f aca="false">IF(L26="#",IF(NETWORKDAYS($F$14,$F$14,Holidays!G:G)&lt;1,-1,0),K26+1)</f>
        <v>77</v>
      </c>
      <c r="N26" s="64"/>
      <c r="O26" s="65" t="n">
        <f aca="false">IF(N26="#",IF(NETWORKDAYS($F$14,$F$14,Holidays!I:I)&lt;1,-1,0),M26+1)</f>
        <v>78</v>
      </c>
      <c r="P26" s="64"/>
      <c r="Q26" s="65" t="n">
        <f aca="false">IF(P26="#",IF(NETWORKDAYS($F$14,$F$14,Holidays!K:K)&lt;1,-1,0),O26+1)</f>
        <v>79</v>
      </c>
      <c r="R26" s="64"/>
      <c r="S26" s="65" t="n">
        <f aca="false">IF(R26="#",IF(NETWORKDAYS($F$14,$F$14,Holidays!M:M)&lt;1,-1,0),Q26+1)</f>
        <v>80</v>
      </c>
      <c r="T26" s="64"/>
      <c r="U26" s="65" t="n">
        <f aca="false">IF(T26="#",IF(NETWORKDAYS($F$14,$F$14,Holidays!O:O)&lt;1,-1,0),S26+1)</f>
        <v>81</v>
      </c>
      <c r="V26" s="64"/>
      <c r="W26" s="65" t="n">
        <f aca="false">IF(V26="#",IF(NETWORKDAYS($F$14,$F$14,Holidays!Q:Q)&lt;1,-1,0),U26+1)</f>
        <v>82</v>
      </c>
      <c r="X26" s="64"/>
      <c r="Y26" s="65" t="n">
        <f aca="false">IF(X26="#",IF(NETWORKDAYS($F$14,$F$14,Holidays!S:S)&lt;1,-1,0),W26+1)</f>
        <v>83</v>
      </c>
      <c r="Z26" s="64"/>
      <c r="AA26" s="65" t="n">
        <f aca="false">IF(Z26="#",IF(NETWORKDAYS($F$14,$F$14,Holidays!U:U)&lt;1,-1,0),Y26+1)</f>
        <v>84</v>
      </c>
      <c r="AB26" s="64"/>
      <c r="AC26" s="65" t="n">
        <f aca="false">IF(AB26="#",IF(NETWORKDAYS($F$14,$F$14,Holidays!W:W)&lt;1,-1,0),AA26+1)</f>
        <v>85</v>
      </c>
      <c r="AD26" s="64"/>
      <c r="AE26" s="65" t="n">
        <f aca="false">IF(AD26="#",IF(NETWORKDAYS($F$14,$F$14,Holidays!Y:Y)&lt;1,-1,0),AC26+1)</f>
        <v>86</v>
      </c>
      <c r="AF26" s="64"/>
      <c r="AG26" s="65" t="n">
        <f aca="false">IF(AF26="#",IF(NETWORKDAYS($F$14,$F$14,Holidays!AA:AA)&lt;1,-1,0),AE26+1)</f>
        <v>87</v>
      </c>
      <c r="AH26" s="64"/>
      <c r="AI26" s="65" t="n">
        <f aca="false">IF(AH26="#",IF(NETWORKDAYS($F$14,$F$14,Holidays!AC:AC)&lt;1,-1,0),AG26+1)</f>
        <v>88</v>
      </c>
      <c r="AJ26" s="64"/>
      <c r="AK26" s="65" t="n">
        <f aca="false">IF(AJ26="#",IF(NETWORKDAYS($F$14,$F$14,Holidays!AE:AE)&lt;1,-1,0),AI26+1)</f>
        <v>89</v>
      </c>
      <c r="AL26" s="64"/>
      <c r="AM26" s="65" t="n">
        <f aca="false">IF(AL26="#",IF(NETWORKDAYS($F$14,$F$14,Holidays!AG:AG)&lt;1,-1,0),AK26+1)</f>
        <v>90</v>
      </c>
      <c r="AN26" s="64"/>
      <c r="AO26" s="65" t="n">
        <f aca="false">IF(AN26="#",IF(NETWORKDAYS($F$14,$F$14,Holidays!AI:AI)&lt;1,-1,0),AM26+1)</f>
        <v>91</v>
      </c>
      <c r="AP26" s="64"/>
      <c r="AQ26" s="65" t="n">
        <f aca="false">IF(AP26="#",IF(NETWORKDAYS($F$14,$F$14,Holidays!AK:AK)&lt;1,-1,0),AO26+1)</f>
        <v>92</v>
      </c>
      <c r="AR26" s="64"/>
      <c r="AS26" s="65" t="n">
        <f aca="false">IF(AR26="#",IF(NETWORKDAYS($F$14,$F$14,Holidays!AM:AM)&lt;1,-1,0),AQ26+1)</f>
        <v>93</v>
      </c>
      <c r="AT26" s="64"/>
      <c r="AU26" s="65" t="n">
        <f aca="false">IF(AT26="#",IF(NETWORKDAYS($F$14,$F$14,Holidays!AO:AO)&lt;1,-1,0),AS26+1)</f>
        <v>94</v>
      </c>
      <c r="AV26" s="64"/>
      <c r="AW26" s="65" t="n">
        <f aca="false">IF(AV26="#",IF(NETWORKDAYS($F$14,$F$14,Holidays!AQ:AQ)&lt;1,-1,0),AU26+1)</f>
        <v>95</v>
      </c>
      <c r="AX26" s="64"/>
      <c r="AY26" s="65" t="n">
        <f aca="false">IF(AX26="#",IF(NETWORKDAYS($F$14,$F$14,Holidays!AS:AS)&lt;1,-1,0),AW26+1)</f>
        <v>96</v>
      </c>
      <c r="AZ26" s="64"/>
      <c r="BA26" s="65" t="n">
        <f aca="false">IF(AZ26="#",IF(NETWORKDAYS($F$14,$F$14,Holidays!AU:AU)&lt;1,-1,0),AY26+1)</f>
        <v>97</v>
      </c>
      <c r="BB26" s="64"/>
      <c r="BC26" s="65" t="n">
        <f aca="false">IF(BB26="#",IF(NETWORKDAYS($F$14,$F$14,Holidays!AW:AW)&lt;1,-1,0),BA26+1)</f>
        <v>98</v>
      </c>
      <c r="BD26" s="64"/>
      <c r="BE26" s="65" t="n">
        <f aca="false">IF(BD26="#",IF(NETWORKDAYS($F$14,$F$14,Holidays!AY:AY)&lt;1,-1,0),BC26+1)</f>
        <v>99</v>
      </c>
      <c r="BF26" s="64"/>
      <c r="BG26" s="65" t="n">
        <f aca="false">IF(BF26="#",IF(NETWORKDAYS($F$14,$F$14,Holidays!BA:BA)&lt;1,-1,0),BE26+1)</f>
        <v>100</v>
      </c>
      <c r="BH26" s="64"/>
      <c r="BI26" s="65" t="n">
        <f aca="false">IF(BH26="#",IF(NETWORKDAYS($F$14,$F$14,Holidays!BC:BC)&lt;1,-1,0),BG26+1)</f>
        <v>101</v>
      </c>
      <c r="BJ26" s="64"/>
      <c r="BK26" s="65" t="n">
        <f aca="false">IF(BJ26="#",IF(NETWORKDAYS($F$14,$F$14,Holidays!BE:BE)&lt;1,-1,0),BI26+1)</f>
        <v>102</v>
      </c>
      <c r="BL26" s="64"/>
      <c r="BM26" s="65" t="n">
        <f aca="false">IF(BL26="#",IF(NETWORKDAYS($F$14,$F$14,Holidays!BG:BG)&lt;1,-1,0),BK26+1)</f>
        <v>103</v>
      </c>
      <c r="BN26" s="64"/>
      <c r="BO26" s="65" t="n">
        <f aca="false">IF(BN26="#",IF(NETWORKDAYS($F$14,$F$14,Holidays!BI:BI)&lt;1,-1,0),BM26+1)</f>
        <v>104</v>
      </c>
      <c r="BP26" s="64"/>
      <c r="BQ26" s="65" t="n">
        <f aca="false">IF(BP26="#",IF(NETWORKDAYS($F$14,$F$14,Holidays!BK:BK)&lt;1,-1,0),BO26+1)</f>
        <v>105</v>
      </c>
      <c r="BR26" s="13"/>
      <c r="BS26" s="14"/>
    </row>
    <row r="27" customFormat="false" ht="16.5" hidden="false" customHeight="true" outlineLevel="0" collapsed="false">
      <c r="B27" s="40"/>
      <c r="C27" s="66" t="s">
        <v>28</v>
      </c>
      <c r="D27" s="62" t="s">
        <v>27</v>
      </c>
      <c r="E27" s="63" t="n">
        <v>81</v>
      </c>
      <c r="F27" s="64"/>
      <c r="G27" s="65" t="n">
        <f aca="false">IF(F27="#",IF(NETWORKDAYS($F$14,$F$14,Holidays!A:A)&lt;1,-1,0),E27+1)</f>
        <v>82</v>
      </c>
      <c r="H27" s="64"/>
      <c r="I27" s="65" t="n">
        <f aca="false">IF(H27="#",IF(NETWORKDAYS($F$14,$F$14,Holidays!C:C)&lt;1,-1,0),G27+1)</f>
        <v>83</v>
      </c>
      <c r="J27" s="64"/>
      <c r="K27" s="65" t="n">
        <f aca="false">IF(J27="#",IF(NETWORKDAYS($F$14,$F$14,Holidays!E:E)&lt;1,-1,0),I27+1)</f>
        <v>84</v>
      </c>
      <c r="L27" s="64"/>
      <c r="M27" s="65" t="n">
        <f aca="false">IF(L27="#",IF(NETWORKDAYS($F$14,$F$14,Holidays!G:G)&lt;1,-1,0),K27+1)</f>
        <v>85</v>
      </c>
      <c r="N27" s="64"/>
      <c r="O27" s="65" t="n">
        <f aca="false">IF(N27="#",IF(NETWORKDAYS($F$14,$F$14,Holidays!I:I)&lt;1,-1,0),M27+1)</f>
        <v>86</v>
      </c>
      <c r="P27" s="64"/>
      <c r="Q27" s="65" t="n">
        <f aca="false">IF(P27="#",IF(NETWORKDAYS($F$14,$F$14,Holidays!K:K)&lt;1,-1,0),O27+1)</f>
        <v>87</v>
      </c>
      <c r="R27" s="64"/>
      <c r="S27" s="65" t="n">
        <f aca="false">IF(R27="#",IF(NETWORKDAYS($F$14,$F$14,Holidays!M:M)&lt;1,-1,0),Q27+1)</f>
        <v>88</v>
      </c>
      <c r="T27" s="64"/>
      <c r="U27" s="65" t="n">
        <f aca="false">IF(T27="#",IF(NETWORKDAYS($F$14,$F$14,Holidays!O:O)&lt;1,-1,0),S27+1)</f>
        <v>89</v>
      </c>
      <c r="V27" s="64"/>
      <c r="W27" s="65" t="n">
        <f aca="false">IF(V27="#",IF(NETWORKDAYS($F$14,$F$14,Holidays!Q:Q)&lt;1,-1,0),U27+1)</f>
        <v>90</v>
      </c>
      <c r="X27" s="64"/>
      <c r="Y27" s="65" t="n">
        <f aca="false">IF(X27="#",IF(NETWORKDAYS($F$14,$F$14,Holidays!S:S)&lt;1,-1,0),W27+1)</f>
        <v>91</v>
      </c>
      <c r="Z27" s="64"/>
      <c r="AA27" s="65" t="n">
        <f aca="false">IF(Z27="#",IF(NETWORKDAYS($F$14,$F$14,Holidays!U:U)&lt;1,-1,0),Y27+1)</f>
        <v>92</v>
      </c>
      <c r="AB27" s="64"/>
      <c r="AC27" s="65" t="n">
        <f aca="false">IF(AB27="#",IF(NETWORKDAYS($F$14,$F$14,Holidays!W:W)&lt;1,-1,0),AA27+1)</f>
        <v>93</v>
      </c>
      <c r="AD27" s="64"/>
      <c r="AE27" s="65" t="n">
        <f aca="false">IF(AD27="#",IF(NETWORKDAYS($F$14,$F$14,Holidays!Y:Y)&lt;1,-1,0),AC27+1)</f>
        <v>94</v>
      </c>
      <c r="AF27" s="64"/>
      <c r="AG27" s="65" t="n">
        <f aca="false">IF(AF27="#",IF(NETWORKDAYS($F$14,$F$14,Holidays!AA:AA)&lt;1,-1,0),AE27+1)</f>
        <v>95</v>
      </c>
      <c r="AH27" s="64"/>
      <c r="AI27" s="65" t="n">
        <f aca="false">IF(AH27="#",IF(NETWORKDAYS($F$14,$F$14,Holidays!AC:AC)&lt;1,-1,0),AG27+1)</f>
        <v>96</v>
      </c>
      <c r="AJ27" s="64"/>
      <c r="AK27" s="65" t="n">
        <f aca="false">IF(AJ27="#",IF(NETWORKDAYS($F$14,$F$14,Holidays!AE:AE)&lt;1,-1,0),AI27+1)</f>
        <v>97</v>
      </c>
      <c r="AL27" s="64"/>
      <c r="AM27" s="65" t="n">
        <f aca="false">IF(AL27="#",IF(NETWORKDAYS($F$14,$F$14,Holidays!AG:AG)&lt;1,-1,0),AK27+1)</f>
        <v>98</v>
      </c>
      <c r="AN27" s="64"/>
      <c r="AO27" s="65" t="n">
        <f aca="false">IF(AN27="#",IF(NETWORKDAYS($F$14,$F$14,Holidays!AI:AI)&lt;1,-1,0),AM27+1)</f>
        <v>99</v>
      </c>
      <c r="AP27" s="64"/>
      <c r="AQ27" s="65" t="n">
        <f aca="false">IF(AP27="#",IF(NETWORKDAYS($F$14,$F$14,Holidays!AK:AK)&lt;1,-1,0),AO27+1)</f>
        <v>100</v>
      </c>
      <c r="AR27" s="64"/>
      <c r="AS27" s="65" t="n">
        <f aca="false">IF(AR27="#",IF(NETWORKDAYS($F$14,$F$14,Holidays!AM:AM)&lt;1,-1,0),AQ27+1)</f>
        <v>101</v>
      </c>
      <c r="AT27" s="64"/>
      <c r="AU27" s="65" t="n">
        <f aca="false">IF(AT27="#",IF(NETWORKDAYS($F$14,$F$14,Holidays!AO:AO)&lt;1,-1,0),AS27+1)</f>
        <v>102</v>
      </c>
      <c r="AV27" s="64"/>
      <c r="AW27" s="65" t="n">
        <f aca="false">IF(AV27="#",IF(NETWORKDAYS($F$14,$F$14,Holidays!AQ:AQ)&lt;1,-1,0),AU27+1)</f>
        <v>103</v>
      </c>
      <c r="AX27" s="64"/>
      <c r="AY27" s="65" t="n">
        <f aca="false">IF(AX27="#",IF(NETWORKDAYS($F$14,$F$14,Holidays!AS:AS)&lt;1,-1,0),AW27+1)</f>
        <v>104</v>
      </c>
      <c r="AZ27" s="64"/>
      <c r="BA27" s="65" t="n">
        <f aca="false">IF(AZ27="#",IF(NETWORKDAYS($F$14,$F$14,Holidays!AU:AU)&lt;1,-1,0),AY27+1)</f>
        <v>105</v>
      </c>
      <c r="BB27" s="64"/>
      <c r="BC27" s="65" t="n">
        <f aca="false">IF(BB27="#",IF(NETWORKDAYS($F$14,$F$14,Holidays!AW:AW)&lt;1,-1,0),BA27+1)</f>
        <v>106</v>
      </c>
      <c r="BD27" s="64"/>
      <c r="BE27" s="65" t="n">
        <f aca="false">IF(BD27="#",IF(NETWORKDAYS($F$14,$F$14,Holidays!AY:AY)&lt;1,-1,0),BC27+1)</f>
        <v>107</v>
      </c>
      <c r="BF27" s="64"/>
      <c r="BG27" s="65" t="n">
        <f aca="false">IF(BF27="#",IF(NETWORKDAYS($F$14,$F$14,Holidays!BA:BA)&lt;1,-1,0),BE27+1)</f>
        <v>108</v>
      </c>
      <c r="BH27" s="64"/>
      <c r="BI27" s="65" t="n">
        <f aca="false">IF(BH27="#",IF(NETWORKDAYS($F$14,$F$14,Holidays!BC:BC)&lt;1,-1,0),BG27+1)</f>
        <v>109</v>
      </c>
      <c r="BJ27" s="64"/>
      <c r="BK27" s="65" t="n">
        <f aca="false">IF(BJ27="#",IF(NETWORKDAYS($F$14,$F$14,Holidays!BE:BE)&lt;1,-1,0),BI27+1)</f>
        <v>110</v>
      </c>
      <c r="BL27" s="64"/>
      <c r="BM27" s="65" t="n">
        <f aca="false">IF(BL27="#",IF(NETWORKDAYS($F$14,$F$14,Holidays!BG:BG)&lt;1,-1,0),BK27+1)</f>
        <v>111</v>
      </c>
      <c r="BN27" s="64"/>
      <c r="BO27" s="65" t="n">
        <f aca="false">IF(BN27="#",IF(NETWORKDAYS($F$14,$F$14,Holidays!BI:BI)&lt;1,-1,0),BM27+1)</f>
        <v>112</v>
      </c>
      <c r="BP27" s="64"/>
      <c r="BQ27" s="65" t="n">
        <f aca="false">IF(BP27="#",IF(NETWORKDAYS($F$14,$F$14,Holidays!BK:BK)&lt;1,-1,0),BO27+1)</f>
        <v>113</v>
      </c>
      <c r="BR27" s="13"/>
      <c r="BS27" s="14"/>
    </row>
    <row r="28" customFormat="false" ht="16.5" hidden="false" customHeight="true" outlineLevel="0" collapsed="false">
      <c r="B28" s="40"/>
      <c r="C28" s="66" t="s">
        <v>28</v>
      </c>
      <c r="D28" s="62" t="s">
        <v>27</v>
      </c>
      <c r="E28" s="63" t="n">
        <v>27</v>
      </c>
      <c r="F28" s="64"/>
      <c r="G28" s="65" t="n">
        <f aca="false">IF(F28="#",IF(NETWORKDAYS($F$14,$F$14,Holidays!A:A)&lt;1,-1,0),E28+1)</f>
        <v>28</v>
      </c>
      <c r="H28" s="64"/>
      <c r="I28" s="65" t="n">
        <f aca="false">IF(H28="#",IF(NETWORKDAYS($F$14,$F$14,Holidays!C:C)&lt;1,-1,0),G28+1)</f>
        <v>29</v>
      </c>
      <c r="J28" s="64"/>
      <c r="K28" s="65" t="n">
        <f aca="false">IF(J28="#",IF(NETWORKDAYS($F$14,$F$14,Holidays!E:E)&lt;1,-1,0),I28+1)</f>
        <v>30</v>
      </c>
      <c r="L28" s="64"/>
      <c r="M28" s="65" t="n">
        <f aca="false">IF(L28="#",IF(NETWORKDAYS($F$14,$F$14,Holidays!G:G)&lt;1,-1,0),K28+1)</f>
        <v>31</v>
      </c>
      <c r="N28" s="64"/>
      <c r="O28" s="65" t="n">
        <f aca="false">IF(N28="#",IF(NETWORKDAYS($F$14,$F$14,Holidays!I:I)&lt;1,-1,0),M28+1)</f>
        <v>32</v>
      </c>
      <c r="P28" s="64"/>
      <c r="Q28" s="65" t="n">
        <f aca="false">IF(P28="#",IF(NETWORKDAYS($F$14,$F$14,Holidays!K:K)&lt;1,-1,0),O28+1)</f>
        <v>33</v>
      </c>
      <c r="R28" s="64"/>
      <c r="S28" s="65" t="n">
        <f aca="false">IF(R28="#",IF(NETWORKDAYS($F$14,$F$14,Holidays!M:M)&lt;1,-1,0),Q28+1)</f>
        <v>34</v>
      </c>
      <c r="T28" s="64"/>
      <c r="U28" s="65" t="n">
        <f aca="false">IF(T28="#",IF(NETWORKDAYS($F$14,$F$14,Holidays!O:O)&lt;1,-1,0),S28+1)</f>
        <v>35</v>
      </c>
      <c r="V28" s="64"/>
      <c r="W28" s="65" t="n">
        <f aca="false">IF(V28="#",IF(NETWORKDAYS($F$14,$F$14,Holidays!Q:Q)&lt;1,-1,0),U28+1)</f>
        <v>36</v>
      </c>
      <c r="X28" s="64"/>
      <c r="Y28" s="65" t="n">
        <f aca="false">IF(X28="#",IF(NETWORKDAYS($F$14,$F$14,Holidays!S:S)&lt;1,-1,0),W28+1)</f>
        <v>37</v>
      </c>
      <c r="Z28" s="64"/>
      <c r="AA28" s="65" t="n">
        <f aca="false">IF(Z28="#",IF(NETWORKDAYS($F$14,$F$14,Holidays!U:U)&lt;1,-1,0),Y28+1)</f>
        <v>38</v>
      </c>
      <c r="AB28" s="64"/>
      <c r="AC28" s="65" t="n">
        <f aca="false">IF(AB28="#",IF(NETWORKDAYS($F$14,$F$14,Holidays!W:W)&lt;1,-1,0),AA28+1)</f>
        <v>39</v>
      </c>
      <c r="AD28" s="64"/>
      <c r="AE28" s="65" t="n">
        <f aca="false">IF(AD28="#",IF(NETWORKDAYS($F$14,$F$14,Holidays!Y:Y)&lt;1,-1,0),AC28+1)</f>
        <v>40</v>
      </c>
      <c r="AF28" s="64"/>
      <c r="AG28" s="65" t="n">
        <f aca="false">IF(AF28="#",IF(NETWORKDAYS($F$14,$F$14,Holidays!AA:AA)&lt;1,-1,0),AE28+1)</f>
        <v>41</v>
      </c>
      <c r="AH28" s="64"/>
      <c r="AI28" s="65" t="n">
        <f aca="false">IF(AH28="#",IF(NETWORKDAYS($F$14,$F$14,Holidays!AC:AC)&lt;1,-1,0),AG28+1)</f>
        <v>42</v>
      </c>
      <c r="AJ28" s="64"/>
      <c r="AK28" s="65" t="n">
        <f aca="false">IF(AJ28="#",IF(NETWORKDAYS($F$14,$F$14,Holidays!AE:AE)&lt;1,-1,0),AI28+1)</f>
        <v>43</v>
      </c>
      <c r="AL28" s="64"/>
      <c r="AM28" s="65" t="n">
        <f aca="false">IF(AL28="#",IF(NETWORKDAYS($F$14,$F$14,Holidays!AG:AG)&lt;1,-1,0),AK28+1)</f>
        <v>44</v>
      </c>
      <c r="AN28" s="64"/>
      <c r="AO28" s="65" t="n">
        <f aca="false">IF(AN28="#",IF(NETWORKDAYS($F$14,$F$14,Holidays!AI:AI)&lt;1,-1,0),AM28+1)</f>
        <v>45</v>
      </c>
      <c r="AP28" s="64"/>
      <c r="AQ28" s="65" t="n">
        <f aca="false">IF(AP28="#",IF(NETWORKDAYS($F$14,$F$14,Holidays!AK:AK)&lt;1,-1,0),AO28+1)</f>
        <v>46</v>
      </c>
      <c r="AR28" s="64"/>
      <c r="AS28" s="65" t="n">
        <f aca="false">IF(AR28="#",IF(NETWORKDAYS($F$14,$F$14,Holidays!AM:AM)&lt;1,-1,0),AQ28+1)</f>
        <v>47</v>
      </c>
      <c r="AT28" s="64"/>
      <c r="AU28" s="65" t="n">
        <f aca="false">IF(AT28="#",IF(NETWORKDAYS($F$14,$F$14,Holidays!AO:AO)&lt;1,-1,0),AS28+1)</f>
        <v>48</v>
      </c>
      <c r="AV28" s="64"/>
      <c r="AW28" s="65" t="n">
        <f aca="false">IF(AV28="#",IF(NETWORKDAYS($F$14,$F$14,Holidays!AQ:AQ)&lt;1,-1,0),AU28+1)</f>
        <v>49</v>
      </c>
      <c r="AX28" s="64"/>
      <c r="AY28" s="65" t="n">
        <f aca="false">IF(AX28="#",IF(NETWORKDAYS($F$14,$F$14,Holidays!AS:AS)&lt;1,-1,0),AW28+1)</f>
        <v>50</v>
      </c>
      <c r="AZ28" s="64"/>
      <c r="BA28" s="65" t="n">
        <f aca="false">IF(AZ28="#",IF(NETWORKDAYS($F$14,$F$14,Holidays!AU:AU)&lt;1,-1,0),AY28+1)</f>
        <v>51</v>
      </c>
      <c r="BB28" s="64"/>
      <c r="BC28" s="65" t="n">
        <f aca="false">IF(BB28="#",IF(NETWORKDAYS($F$14,$F$14,Holidays!AW:AW)&lt;1,-1,0),BA28+1)</f>
        <v>52</v>
      </c>
      <c r="BD28" s="64"/>
      <c r="BE28" s="65" t="n">
        <f aca="false">IF(BD28="#",IF(NETWORKDAYS($F$14,$F$14,Holidays!AY:AY)&lt;1,-1,0),BC28+1)</f>
        <v>53</v>
      </c>
      <c r="BF28" s="64"/>
      <c r="BG28" s="65" t="n">
        <f aca="false">IF(BF28="#",IF(NETWORKDAYS($F$14,$F$14,Holidays!BA:BA)&lt;1,-1,0),BE28+1)</f>
        <v>54</v>
      </c>
      <c r="BH28" s="64"/>
      <c r="BI28" s="65" t="n">
        <f aca="false">IF(BH28="#",IF(NETWORKDAYS($F$14,$F$14,Holidays!BC:BC)&lt;1,-1,0),BG28+1)</f>
        <v>55</v>
      </c>
      <c r="BJ28" s="64"/>
      <c r="BK28" s="65" t="n">
        <f aca="false">IF(BJ28="#",IF(NETWORKDAYS($F$14,$F$14,Holidays!BE:BE)&lt;1,-1,0),BI28+1)</f>
        <v>56</v>
      </c>
      <c r="BL28" s="64"/>
      <c r="BM28" s="65" t="n">
        <f aca="false">IF(BL28="#",IF(NETWORKDAYS($F$14,$F$14,Holidays!BG:BG)&lt;1,-1,0),BK28+1)</f>
        <v>57</v>
      </c>
      <c r="BN28" s="64"/>
      <c r="BO28" s="65" t="n">
        <f aca="false">IF(BN28="#",IF(NETWORKDAYS($F$14,$F$14,Holidays!BI:BI)&lt;1,-1,0),BM28+1)</f>
        <v>58</v>
      </c>
      <c r="BP28" s="64"/>
      <c r="BQ28" s="65" t="n">
        <f aca="false">IF(BP28="#",IF(NETWORKDAYS($F$14,$F$14,Holidays!BK:BK)&lt;1,-1,0),BO28+1)</f>
        <v>59</v>
      </c>
      <c r="BR28" s="13"/>
      <c r="BS28" s="14"/>
    </row>
    <row r="29" customFormat="false" ht="16.5" hidden="false" customHeight="true" outlineLevel="0" collapsed="false">
      <c r="B29" s="40"/>
      <c r="C29" s="66" t="s">
        <v>28</v>
      </c>
      <c r="D29" s="62" t="s">
        <v>27</v>
      </c>
      <c r="E29" s="63" t="n">
        <v>-100</v>
      </c>
      <c r="F29" s="64"/>
      <c r="G29" s="65" t="n">
        <f aca="false">IF(F29="#",IF(NETWORKDAYS($F$14,$F$14,Holidays!A:A)&lt;1,-1,0),E29+1)</f>
        <v>-99</v>
      </c>
      <c r="H29" s="64"/>
      <c r="I29" s="65" t="n">
        <f aca="false">IF(H29="#",IF(NETWORKDAYS($F$14,$F$14,Holidays!C:C)&lt;1,-1,0),G29+1)</f>
        <v>-98</v>
      </c>
      <c r="J29" s="64"/>
      <c r="K29" s="65" t="n">
        <f aca="false">IF(J29="#",IF(NETWORKDAYS($F$14,$F$14,Holidays!E:E)&lt;1,-1,0),I29+1)</f>
        <v>-97</v>
      </c>
      <c r="L29" s="64"/>
      <c r="M29" s="65" t="n">
        <f aca="false">IF(L29="#",IF(NETWORKDAYS($F$14,$F$14,Holidays!G:G)&lt;1,-1,0),K29+1)</f>
        <v>-96</v>
      </c>
      <c r="N29" s="64"/>
      <c r="O29" s="65" t="n">
        <f aca="false">IF(N29="#",IF(NETWORKDAYS($F$14,$F$14,Holidays!I:I)&lt;1,-1,0),M29+1)</f>
        <v>-95</v>
      </c>
      <c r="P29" s="64"/>
      <c r="Q29" s="65" t="n">
        <f aca="false">IF(P29="#",IF(NETWORKDAYS($F$14,$F$14,Holidays!K:K)&lt;1,-1,0),O29+1)</f>
        <v>-94</v>
      </c>
      <c r="R29" s="64"/>
      <c r="S29" s="65" t="n">
        <f aca="false">IF(R29="#",IF(NETWORKDAYS($F$14,$F$14,Holidays!M:M)&lt;1,-1,0),Q29+1)</f>
        <v>-93</v>
      </c>
      <c r="T29" s="64"/>
      <c r="U29" s="65" t="n">
        <f aca="false">IF(T29="#",IF(NETWORKDAYS($F$14,$F$14,Holidays!O:O)&lt;1,-1,0),S29+1)</f>
        <v>-92</v>
      </c>
      <c r="V29" s="64"/>
      <c r="W29" s="65" t="n">
        <f aca="false">IF(V29="#",IF(NETWORKDAYS($F$14,$F$14,Holidays!Q:Q)&lt;1,-1,0),U29+1)</f>
        <v>-91</v>
      </c>
      <c r="X29" s="64"/>
      <c r="Y29" s="65" t="n">
        <f aca="false">IF(X29="#",IF(NETWORKDAYS($F$14,$F$14,Holidays!S:S)&lt;1,-1,0),W29+1)</f>
        <v>-90</v>
      </c>
      <c r="Z29" s="64"/>
      <c r="AA29" s="65" t="n">
        <f aca="false">IF(Z29="#",IF(NETWORKDAYS($F$14,$F$14,Holidays!U:U)&lt;1,-1,0),Y29+1)</f>
        <v>-89</v>
      </c>
      <c r="AB29" s="64"/>
      <c r="AC29" s="65" t="n">
        <f aca="false">IF(AB29="#",IF(NETWORKDAYS($F$14,$F$14,Holidays!W:W)&lt;1,-1,0),AA29+1)</f>
        <v>-88</v>
      </c>
      <c r="AD29" s="64"/>
      <c r="AE29" s="65" t="n">
        <f aca="false">IF(AD29="#",IF(NETWORKDAYS($F$14,$F$14,Holidays!Y:Y)&lt;1,-1,0),AC29+1)</f>
        <v>-87</v>
      </c>
      <c r="AF29" s="64"/>
      <c r="AG29" s="65" t="n">
        <f aca="false">IF(AF29="#",IF(NETWORKDAYS($F$14,$F$14,Holidays!AA:AA)&lt;1,-1,0),AE29+1)</f>
        <v>-86</v>
      </c>
      <c r="AH29" s="64"/>
      <c r="AI29" s="65" t="n">
        <f aca="false">IF(AH29="#",IF(NETWORKDAYS($F$14,$F$14,Holidays!AC:AC)&lt;1,-1,0),AG29+1)</f>
        <v>-85</v>
      </c>
      <c r="AJ29" s="64"/>
      <c r="AK29" s="65" t="n">
        <f aca="false">IF(AJ29="#",IF(NETWORKDAYS($F$14,$F$14,Holidays!AE:AE)&lt;1,-1,0),AI29+1)</f>
        <v>-84</v>
      </c>
      <c r="AL29" s="64"/>
      <c r="AM29" s="65" t="n">
        <f aca="false">IF(AL29="#",IF(NETWORKDAYS($F$14,$F$14,Holidays!AG:AG)&lt;1,-1,0),AK29+1)</f>
        <v>-83</v>
      </c>
      <c r="AN29" s="64"/>
      <c r="AO29" s="65" t="n">
        <f aca="false">IF(AN29="#",IF(NETWORKDAYS($F$14,$F$14,Holidays!AI:AI)&lt;1,-1,0),AM29+1)</f>
        <v>-82</v>
      </c>
      <c r="AP29" s="64"/>
      <c r="AQ29" s="65" t="n">
        <f aca="false">IF(AP29="#",IF(NETWORKDAYS($F$14,$F$14,Holidays!AK:AK)&lt;1,-1,0),AO29+1)</f>
        <v>-81</v>
      </c>
      <c r="AR29" s="64"/>
      <c r="AS29" s="65" t="n">
        <f aca="false">IF(AR29="#",IF(NETWORKDAYS($F$14,$F$14,Holidays!AM:AM)&lt;1,-1,0),AQ29+1)</f>
        <v>-80</v>
      </c>
      <c r="AT29" s="64"/>
      <c r="AU29" s="65" t="n">
        <f aca="false">IF(AT29="#",IF(NETWORKDAYS($F$14,$F$14,Holidays!AO:AO)&lt;1,-1,0),AS29+1)</f>
        <v>-79</v>
      </c>
      <c r="AV29" s="64"/>
      <c r="AW29" s="65" t="n">
        <f aca="false">IF(AV29="#",IF(NETWORKDAYS($F$14,$F$14,Holidays!AQ:AQ)&lt;1,-1,0),AU29+1)</f>
        <v>-78</v>
      </c>
      <c r="AX29" s="64"/>
      <c r="AY29" s="65" t="n">
        <f aca="false">IF(AX29="#",IF(NETWORKDAYS($F$14,$F$14,Holidays!AS:AS)&lt;1,-1,0),AW29+1)</f>
        <v>-77</v>
      </c>
      <c r="AZ29" s="64"/>
      <c r="BA29" s="65" t="n">
        <f aca="false">IF(AZ29="#",IF(NETWORKDAYS($F$14,$F$14,Holidays!AU:AU)&lt;1,-1,0),AY29+1)</f>
        <v>-76</v>
      </c>
      <c r="BB29" s="64"/>
      <c r="BC29" s="65" t="n">
        <f aca="false">IF(BB29="#",IF(NETWORKDAYS($F$14,$F$14,Holidays!AW:AW)&lt;1,-1,0),BA29+1)</f>
        <v>-75</v>
      </c>
      <c r="BD29" s="64"/>
      <c r="BE29" s="65" t="n">
        <f aca="false">IF(BD29="#",IF(NETWORKDAYS($F$14,$F$14,Holidays!AY:AY)&lt;1,-1,0),BC29+1)</f>
        <v>-74</v>
      </c>
      <c r="BF29" s="64"/>
      <c r="BG29" s="65" t="n">
        <f aca="false">IF(BF29="#",IF(NETWORKDAYS($F$14,$F$14,Holidays!BA:BA)&lt;1,-1,0),BE29+1)</f>
        <v>-73</v>
      </c>
      <c r="BH29" s="64"/>
      <c r="BI29" s="65" t="n">
        <f aca="false">IF(BH29="#",IF(NETWORKDAYS($F$14,$F$14,Holidays!BC:BC)&lt;1,-1,0),BG29+1)</f>
        <v>-72</v>
      </c>
      <c r="BJ29" s="64"/>
      <c r="BK29" s="65" t="n">
        <f aca="false">IF(BJ29="#",IF(NETWORKDAYS($F$14,$F$14,Holidays!BE:BE)&lt;1,-1,0),BI29+1)</f>
        <v>-71</v>
      </c>
      <c r="BL29" s="64"/>
      <c r="BM29" s="65" t="n">
        <f aca="false">IF(BL29="#",IF(NETWORKDAYS($F$14,$F$14,Holidays!BG:BG)&lt;1,-1,0),BK29+1)</f>
        <v>-70</v>
      </c>
      <c r="BN29" s="64"/>
      <c r="BO29" s="65" t="n">
        <f aca="false">IF(BN29="#",IF(NETWORKDAYS($F$14,$F$14,Holidays!BI:BI)&lt;1,-1,0),BM29+1)</f>
        <v>-69</v>
      </c>
      <c r="BP29" s="64"/>
      <c r="BQ29" s="65" t="n">
        <f aca="false">IF(BP29="#",IF(NETWORKDAYS($F$14,$F$14,Holidays!BK:BK)&lt;1,-1,0),BO29+1)</f>
        <v>-68</v>
      </c>
      <c r="BR29" s="13"/>
      <c r="BS29" s="14"/>
    </row>
    <row r="30" customFormat="false" ht="16.5" hidden="false" customHeight="true" outlineLevel="0" collapsed="false">
      <c r="B30" s="40"/>
      <c r="C30" s="66" t="s">
        <v>28</v>
      </c>
      <c r="D30" s="62" t="s">
        <v>27</v>
      </c>
      <c r="E30" s="63" t="n">
        <v>71</v>
      </c>
      <c r="F30" s="64"/>
      <c r="G30" s="65" t="n">
        <f aca="false">IF(F30="#",IF(NETWORKDAYS($F$14,$F$14,Holidays!A:A)&lt;1,-1,0),E30+1)</f>
        <v>72</v>
      </c>
      <c r="H30" s="64"/>
      <c r="I30" s="65" t="n">
        <f aca="false">IF(H30="#",IF(NETWORKDAYS($F$14,$F$14,Holidays!C:C)&lt;1,-1,0),G30+1)</f>
        <v>73</v>
      </c>
      <c r="J30" s="64"/>
      <c r="K30" s="65" t="n">
        <f aca="false">IF(J30="#",IF(NETWORKDAYS($F$14,$F$14,Holidays!E:E)&lt;1,-1,0),I30+1)</f>
        <v>74</v>
      </c>
      <c r="L30" s="64"/>
      <c r="M30" s="65" t="n">
        <f aca="false">IF(L30="#",IF(NETWORKDAYS($F$14,$F$14,Holidays!G:G)&lt;1,-1,0),K30+1)</f>
        <v>75</v>
      </c>
      <c r="N30" s="64"/>
      <c r="O30" s="65" t="n">
        <f aca="false">IF(N30="#",IF(NETWORKDAYS($F$14,$F$14,Holidays!I:I)&lt;1,-1,0),M30+1)</f>
        <v>76</v>
      </c>
      <c r="P30" s="64"/>
      <c r="Q30" s="65" t="n">
        <f aca="false">IF(P30="#",IF(NETWORKDAYS($F$14,$F$14,Holidays!K:K)&lt;1,-1,0),O30+1)</f>
        <v>77</v>
      </c>
      <c r="R30" s="64"/>
      <c r="S30" s="65" t="n">
        <f aca="false">IF(R30="#",IF(NETWORKDAYS($F$14,$F$14,Holidays!M:M)&lt;1,-1,0),Q30+1)</f>
        <v>78</v>
      </c>
      <c r="T30" s="64"/>
      <c r="U30" s="65" t="n">
        <f aca="false">IF(T30="#",IF(NETWORKDAYS($F$14,$F$14,Holidays!O:O)&lt;1,-1,0),S30+1)</f>
        <v>79</v>
      </c>
      <c r="V30" s="64"/>
      <c r="W30" s="65" t="n">
        <f aca="false">IF(V30="#",IF(NETWORKDAYS($F$14,$F$14,Holidays!Q:Q)&lt;1,-1,0),U30+1)</f>
        <v>80</v>
      </c>
      <c r="X30" s="64"/>
      <c r="Y30" s="65" t="n">
        <f aca="false">IF(X30="#",IF(NETWORKDAYS($F$14,$F$14,Holidays!S:S)&lt;1,-1,0),W30+1)</f>
        <v>81</v>
      </c>
      <c r="Z30" s="64"/>
      <c r="AA30" s="65" t="n">
        <f aca="false">IF(Z30="#",IF(NETWORKDAYS($F$14,$F$14,Holidays!U:U)&lt;1,-1,0),Y30+1)</f>
        <v>82</v>
      </c>
      <c r="AB30" s="64"/>
      <c r="AC30" s="65" t="n">
        <f aca="false">IF(AB30="#",IF(NETWORKDAYS($F$14,$F$14,Holidays!W:W)&lt;1,-1,0),AA30+1)</f>
        <v>83</v>
      </c>
      <c r="AD30" s="64"/>
      <c r="AE30" s="65" t="n">
        <f aca="false">IF(AD30="#",IF(NETWORKDAYS($F$14,$F$14,Holidays!Y:Y)&lt;1,-1,0),AC30+1)</f>
        <v>84</v>
      </c>
      <c r="AF30" s="64"/>
      <c r="AG30" s="65" t="n">
        <f aca="false">IF(AF30="#",IF(NETWORKDAYS($F$14,$F$14,Holidays!AA:AA)&lt;1,-1,0),AE30+1)</f>
        <v>85</v>
      </c>
      <c r="AH30" s="64"/>
      <c r="AI30" s="65" t="n">
        <f aca="false">IF(AH30="#",IF(NETWORKDAYS($F$14,$F$14,Holidays!AC:AC)&lt;1,-1,0),AG30+1)</f>
        <v>86</v>
      </c>
      <c r="AJ30" s="64"/>
      <c r="AK30" s="65" t="n">
        <f aca="false">IF(AJ30="#",IF(NETWORKDAYS($F$14,$F$14,Holidays!AE:AE)&lt;1,-1,0),AI30+1)</f>
        <v>87</v>
      </c>
      <c r="AL30" s="64"/>
      <c r="AM30" s="65" t="n">
        <f aca="false">IF(AL30="#",IF(NETWORKDAYS($F$14,$F$14,Holidays!AG:AG)&lt;1,-1,0),AK30+1)</f>
        <v>88</v>
      </c>
      <c r="AN30" s="64"/>
      <c r="AO30" s="65" t="n">
        <f aca="false">IF(AN30="#",IF(NETWORKDAYS($F$14,$F$14,Holidays!AI:AI)&lt;1,-1,0),AM30+1)</f>
        <v>89</v>
      </c>
      <c r="AP30" s="64"/>
      <c r="AQ30" s="65" t="n">
        <f aca="false">IF(AP30="#",IF(NETWORKDAYS($F$14,$F$14,Holidays!AK:AK)&lt;1,-1,0),AO30+1)</f>
        <v>90</v>
      </c>
      <c r="AR30" s="64"/>
      <c r="AS30" s="65" t="n">
        <f aca="false">IF(AR30="#",IF(NETWORKDAYS($F$14,$F$14,Holidays!AM:AM)&lt;1,-1,0),AQ30+1)</f>
        <v>91</v>
      </c>
      <c r="AT30" s="64"/>
      <c r="AU30" s="65" t="n">
        <f aca="false">IF(AT30="#",IF(NETWORKDAYS($F$14,$F$14,Holidays!AO:AO)&lt;1,-1,0),AS30+1)</f>
        <v>92</v>
      </c>
      <c r="AV30" s="64"/>
      <c r="AW30" s="65" t="n">
        <f aca="false">IF(AV30="#",IF(NETWORKDAYS($F$14,$F$14,Holidays!AQ:AQ)&lt;1,-1,0),AU30+1)</f>
        <v>93</v>
      </c>
      <c r="AX30" s="64"/>
      <c r="AY30" s="65" t="n">
        <f aca="false">IF(AX30="#",IF(NETWORKDAYS($F$14,$F$14,Holidays!AS:AS)&lt;1,-1,0),AW30+1)</f>
        <v>94</v>
      </c>
      <c r="AZ30" s="64"/>
      <c r="BA30" s="65" t="n">
        <f aca="false">IF(AZ30="#",IF(NETWORKDAYS($F$14,$F$14,Holidays!AU:AU)&lt;1,-1,0),AY30+1)</f>
        <v>95</v>
      </c>
      <c r="BB30" s="64"/>
      <c r="BC30" s="65" t="n">
        <f aca="false">IF(BB30="#",IF(NETWORKDAYS($F$14,$F$14,Holidays!AW:AW)&lt;1,-1,0),BA30+1)</f>
        <v>96</v>
      </c>
      <c r="BD30" s="64"/>
      <c r="BE30" s="65" t="n">
        <f aca="false">IF(BD30="#",IF(NETWORKDAYS($F$14,$F$14,Holidays!AY:AY)&lt;1,-1,0),BC30+1)</f>
        <v>97</v>
      </c>
      <c r="BF30" s="64"/>
      <c r="BG30" s="65" t="n">
        <f aca="false">IF(BF30="#",IF(NETWORKDAYS($F$14,$F$14,Holidays!BA:BA)&lt;1,-1,0),BE30+1)</f>
        <v>98</v>
      </c>
      <c r="BH30" s="64"/>
      <c r="BI30" s="65" t="n">
        <f aca="false">IF(BH30="#",IF(NETWORKDAYS($F$14,$F$14,Holidays!BC:BC)&lt;1,-1,0),BG30+1)</f>
        <v>99</v>
      </c>
      <c r="BJ30" s="64"/>
      <c r="BK30" s="65" t="n">
        <f aca="false">IF(BJ30="#",IF(NETWORKDAYS($F$14,$F$14,Holidays!BE:BE)&lt;1,-1,0),BI30+1)</f>
        <v>100</v>
      </c>
      <c r="BL30" s="64"/>
      <c r="BM30" s="65" t="n">
        <f aca="false">IF(BL30="#",IF(NETWORKDAYS($F$14,$F$14,Holidays!BG:BG)&lt;1,-1,0),BK30+1)</f>
        <v>101</v>
      </c>
      <c r="BN30" s="64"/>
      <c r="BO30" s="65" t="n">
        <f aca="false">IF(BN30="#",IF(NETWORKDAYS($F$14,$F$14,Holidays!BI:BI)&lt;1,-1,0),BM30+1)</f>
        <v>102</v>
      </c>
      <c r="BP30" s="64"/>
      <c r="BQ30" s="65" t="n">
        <f aca="false">IF(BP30="#",IF(NETWORKDAYS($F$14,$F$14,Holidays!BK:BK)&lt;1,-1,0),BO30+1)</f>
        <v>103</v>
      </c>
      <c r="BR30" s="13"/>
      <c r="BS30" s="14"/>
    </row>
    <row r="31" customFormat="false" ht="15" hidden="false" customHeight="false" outlineLevel="0" collapsed="false">
      <c r="B31" s="40"/>
      <c r="C31" s="66" t="s">
        <v>28</v>
      </c>
      <c r="D31" s="62" t="s">
        <v>27</v>
      </c>
      <c r="E31" s="63" t="n">
        <v>68</v>
      </c>
      <c r="F31" s="64"/>
      <c r="G31" s="65" t="n">
        <f aca="false">IF(F31="#",IF(NETWORKDAYS($F$14,$F$14,Holidays!A:A)&lt;1,-1,0),E31+1)</f>
        <v>69</v>
      </c>
      <c r="H31" s="64"/>
      <c r="I31" s="65" t="n">
        <f aca="false">IF(H31="#",IF(NETWORKDAYS($F$14,$F$14,Holidays!C:C)&lt;1,-1,0),G31+1)</f>
        <v>70</v>
      </c>
      <c r="J31" s="64"/>
      <c r="K31" s="65" t="n">
        <f aca="false">IF(J31="#",IF(NETWORKDAYS($F$14,$F$14,Holidays!E:E)&lt;1,-1,0),I31+1)</f>
        <v>71</v>
      </c>
      <c r="L31" s="64"/>
      <c r="M31" s="65" t="n">
        <f aca="false">IF(L31="#",IF(NETWORKDAYS($F$14,$F$14,Holidays!G:G)&lt;1,-1,0),K31+1)</f>
        <v>72</v>
      </c>
      <c r="N31" s="64"/>
      <c r="O31" s="65" t="n">
        <f aca="false">IF(N31="#",IF(NETWORKDAYS($F$14,$F$14,Holidays!I:I)&lt;1,-1,0),M31+1)</f>
        <v>73</v>
      </c>
      <c r="P31" s="64"/>
      <c r="Q31" s="65" t="n">
        <f aca="false">IF(P31="#",IF(NETWORKDAYS($F$14,$F$14,Holidays!K:K)&lt;1,-1,0),O31+1)</f>
        <v>74</v>
      </c>
      <c r="R31" s="64"/>
      <c r="S31" s="65" t="n">
        <f aca="false">IF(R31="#",IF(NETWORKDAYS($F$14,$F$14,Holidays!M:M)&lt;1,-1,0),Q31+1)</f>
        <v>75</v>
      </c>
      <c r="T31" s="64"/>
      <c r="U31" s="65" t="n">
        <f aca="false">IF(T31="#",IF(NETWORKDAYS($F$14,$F$14,Holidays!O:O)&lt;1,-1,0),S31+1)</f>
        <v>76</v>
      </c>
      <c r="V31" s="64"/>
      <c r="W31" s="65" t="n">
        <f aca="false">IF(V31="#",IF(NETWORKDAYS($F$14,$F$14,Holidays!Q:Q)&lt;1,-1,0),U31+1)</f>
        <v>77</v>
      </c>
      <c r="X31" s="64"/>
      <c r="Y31" s="65" t="n">
        <f aca="false">IF(X31="#",IF(NETWORKDAYS($F$14,$F$14,Holidays!S:S)&lt;1,-1,0),W31+1)</f>
        <v>78</v>
      </c>
      <c r="Z31" s="64"/>
      <c r="AA31" s="65" t="n">
        <f aca="false">IF(Z31="#",IF(NETWORKDAYS($F$14,$F$14,Holidays!U:U)&lt;1,-1,0),Y31+1)</f>
        <v>79</v>
      </c>
      <c r="AB31" s="64"/>
      <c r="AC31" s="65" t="n">
        <f aca="false">IF(AB31="#",IF(NETWORKDAYS($F$14,$F$14,Holidays!W:W)&lt;1,-1,0),AA31+1)</f>
        <v>80</v>
      </c>
      <c r="AD31" s="64"/>
      <c r="AE31" s="65" t="n">
        <f aca="false">IF(AD31="#",IF(NETWORKDAYS($F$14,$F$14,Holidays!Y:Y)&lt;1,-1,0),AC31+1)</f>
        <v>81</v>
      </c>
      <c r="AF31" s="64"/>
      <c r="AG31" s="65" t="n">
        <f aca="false">IF(AF31="#",IF(NETWORKDAYS($F$14,$F$14,Holidays!AA:AA)&lt;1,-1,0),AE31+1)</f>
        <v>82</v>
      </c>
      <c r="AH31" s="64"/>
      <c r="AI31" s="65" t="n">
        <f aca="false">IF(AH31="#",IF(NETWORKDAYS($F$14,$F$14,Holidays!AC:AC)&lt;1,-1,0),AG31+1)</f>
        <v>83</v>
      </c>
      <c r="AJ31" s="64"/>
      <c r="AK31" s="65" t="n">
        <f aca="false">IF(AJ31="#",IF(NETWORKDAYS($F$14,$F$14,Holidays!AE:AE)&lt;1,-1,0),AI31+1)</f>
        <v>84</v>
      </c>
      <c r="AL31" s="64"/>
      <c r="AM31" s="65" t="n">
        <f aca="false">IF(AL31="#",IF(NETWORKDAYS($F$14,$F$14,Holidays!AG:AG)&lt;1,-1,0),AK31+1)</f>
        <v>85</v>
      </c>
      <c r="AN31" s="64"/>
      <c r="AO31" s="65" t="n">
        <f aca="false">IF(AN31="#",IF(NETWORKDAYS($F$14,$F$14,Holidays!AI:AI)&lt;1,-1,0),AM31+1)</f>
        <v>86</v>
      </c>
      <c r="AP31" s="64"/>
      <c r="AQ31" s="65" t="n">
        <f aca="false">IF(AP31="#",IF(NETWORKDAYS($F$14,$F$14,Holidays!AK:AK)&lt;1,-1,0),AO31+1)</f>
        <v>87</v>
      </c>
      <c r="AR31" s="64"/>
      <c r="AS31" s="65" t="n">
        <f aca="false">IF(AR31="#",IF(NETWORKDAYS($F$14,$F$14,Holidays!AM:AM)&lt;1,-1,0),AQ31+1)</f>
        <v>88</v>
      </c>
      <c r="AT31" s="64"/>
      <c r="AU31" s="65" t="n">
        <f aca="false">IF(AT31="#",IF(NETWORKDAYS($F$14,$F$14,Holidays!AO:AO)&lt;1,-1,0),AS31+1)</f>
        <v>89</v>
      </c>
      <c r="AV31" s="64"/>
      <c r="AW31" s="65" t="n">
        <f aca="false">IF(AV31="#",IF(NETWORKDAYS($F$14,$F$14,Holidays!AQ:AQ)&lt;1,-1,0),AU31+1)</f>
        <v>90</v>
      </c>
      <c r="AX31" s="64"/>
      <c r="AY31" s="65" t="n">
        <f aca="false">IF(AX31="#",IF(NETWORKDAYS($F$14,$F$14,Holidays!AS:AS)&lt;1,-1,0),AW31+1)</f>
        <v>91</v>
      </c>
      <c r="AZ31" s="64"/>
      <c r="BA31" s="65" t="n">
        <f aca="false">IF(AZ31="#",IF(NETWORKDAYS($F$14,$F$14,Holidays!AU:AU)&lt;1,-1,0),AY31+1)</f>
        <v>92</v>
      </c>
      <c r="BB31" s="64"/>
      <c r="BC31" s="65" t="n">
        <f aca="false">IF(BB31="#",IF(NETWORKDAYS($F$14,$F$14,Holidays!AW:AW)&lt;1,-1,0),BA31+1)</f>
        <v>93</v>
      </c>
      <c r="BD31" s="64"/>
      <c r="BE31" s="65" t="n">
        <f aca="false">IF(BD31="#",IF(NETWORKDAYS($F$14,$F$14,Holidays!AY:AY)&lt;1,-1,0),BC31+1)</f>
        <v>94</v>
      </c>
      <c r="BF31" s="64"/>
      <c r="BG31" s="65" t="n">
        <f aca="false">IF(BF31="#",IF(NETWORKDAYS($F$14,$F$14,Holidays!BA:BA)&lt;1,-1,0),BE31+1)</f>
        <v>95</v>
      </c>
      <c r="BH31" s="64"/>
      <c r="BI31" s="65" t="n">
        <f aca="false">IF(BH31="#",IF(NETWORKDAYS($F$14,$F$14,Holidays!BC:BC)&lt;1,-1,0),BG31+1)</f>
        <v>96</v>
      </c>
      <c r="BJ31" s="64"/>
      <c r="BK31" s="65" t="n">
        <f aca="false">IF(BJ31="#",IF(NETWORKDAYS($F$14,$F$14,Holidays!BE:BE)&lt;1,-1,0),BI31+1)</f>
        <v>97</v>
      </c>
      <c r="BL31" s="64"/>
      <c r="BM31" s="65" t="n">
        <f aca="false">IF(BL31="#",IF(NETWORKDAYS($F$14,$F$14,Holidays!BG:BG)&lt;1,-1,0),BK31+1)</f>
        <v>98</v>
      </c>
      <c r="BN31" s="64"/>
      <c r="BO31" s="65" t="n">
        <f aca="false">IF(BN31="#",IF(NETWORKDAYS($F$14,$F$14,Holidays!BI:BI)&lt;1,-1,0),BM31+1)</f>
        <v>99</v>
      </c>
      <c r="BP31" s="64"/>
      <c r="BQ31" s="65" t="n">
        <f aca="false">IF(BP31="#",IF(NETWORKDAYS($F$14,$F$14,Holidays!BK:BK)&lt;1,-1,0),BO31+1)</f>
        <v>100</v>
      </c>
      <c r="BR31" s="13"/>
      <c r="BS31" s="14"/>
    </row>
    <row r="32" customFormat="false" ht="16.5" hidden="false" customHeight="true" outlineLevel="0" collapsed="false">
      <c r="B32" s="40"/>
      <c r="C32" s="66" t="s">
        <v>28</v>
      </c>
      <c r="D32" s="62" t="s">
        <v>27</v>
      </c>
      <c r="E32" s="63" t="n">
        <v>59</v>
      </c>
      <c r="F32" s="64"/>
      <c r="G32" s="65" t="n">
        <f aca="false">IF(F32="#",IF(NETWORKDAYS($F$14,$F$14,Holidays!A:A)&lt;1,-1,0),E32+1)</f>
        <v>60</v>
      </c>
      <c r="H32" s="64"/>
      <c r="I32" s="65" t="n">
        <f aca="false">IF(H32="#",IF(NETWORKDAYS($F$14,$F$14,Holidays!C:C)&lt;1,-1,0),G32+1)</f>
        <v>61</v>
      </c>
      <c r="J32" s="64"/>
      <c r="K32" s="65" t="n">
        <f aca="false">IF(J32="#",IF(NETWORKDAYS($F$14,$F$14,Holidays!E:E)&lt;1,-1,0),I32+1)</f>
        <v>62</v>
      </c>
      <c r="L32" s="64"/>
      <c r="M32" s="65" t="n">
        <f aca="false">IF(L32="#",IF(NETWORKDAYS($F$14,$F$14,Holidays!G:G)&lt;1,-1,0),K32+1)</f>
        <v>63</v>
      </c>
      <c r="N32" s="64"/>
      <c r="O32" s="65" t="n">
        <f aca="false">IF(N32="#",IF(NETWORKDAYS($F$14,$F$14,Holidays!I:I)&lt;1,-1,0),M32+1)</f>
        <v>64</v>
      </c>
      <c r="P32" s="64"/>
      <c r="Q32" s="65" t="n">
        <f aca="false">IF(P32="#",IF(NETWORKDAYS($F$14,$F$14,Holidays!K:K)&lt;1,-1,0),O32+1)</f>
        <v>65</v>
      </c>
      <c r="R32" s="64"/>
      <c r="S32" s="65" t="n">
        <f aca="false">IF(R32="#",IF(NETWORKDAYS($F$14,$F$14,Holidays!M:M)&lt;1,-1,0),Q32+1)</f>
        <v>66</v>
      </c>
      <c r="T32" s="64"/>
      <c r="U32" s="65" t="n">
        <f aca="false">IF(T32="#",IF(NETWORKDAYS($F$14,$F$14,Holidays!O:O)&lt;1,-1,0),S32+1)</f>
        <v>67</v>
      </c>
      <c r="V32" s="64"/>
      <c r="W32" s="65" t="n">
        <f aca="false">IF(V32="#",IF(NETWORKDAYS($F$14,$F$14,Holidays!Q:Q)&lt;1,-1,0),U32+1)</f>
        <v>68</v>
      </c>
      <c r="X32" s="64"/>
      <c r="Y32" s="65" t="n">
        <f aca="false">IF(X32="#",IF(NETWORKDAYS($F$14,$F$14,Holidays!S:S)&lt;1,-1,0),W32+1)</f>
        <v>69</v>
      </c>
      <c r="Z32" s="64"/>
      <c r="AA32" s="65" t="n">
        <f aca="false">IF(Z32="#",IF(NETWORKDAYS($F$14,$F$14,Holidays!U:U)&lt;1,-1,0),Y32+1)</f>
        <v>70</v>
      </c>
      <c r="AB32" s="64"/>
      <c r="AC32" s="65" t="n">
        <f aca="false">IF(AB32="#",IF(NETWORKDAYS($F$14,$F$14,Holidays!W:W)&lt;1,-1,0),AA32+1)</f>
        <v>71</v>
      </c>
      <c r="AD32" s="64"/>
      <c r="AE32" s="65" t="n">
        <f aca="false">IF(AD32="#",IF(NETWORKDAYS($F$14,$F$14,Holidays!Y:Y)&lt;1,-1,0),AC32+1)</f>
        <v>72</v>
      </c>
      <c r="AF32" s="64"/>
      <c r="AG32" s="65" t="n">
        <f aca="false">IF(AF32="#",IF(NETWORKDAYS($F$14,$F$14,Holidays!AA:AA)&lt;1,-1,0),AE32+1)</f>
        <v>73</v>
      </c>
      <c r="AH32" s="64"/>
      <c r="AI32" s="65" t="n">
        <f aca="false">IF(AH32="#",IF(NETWORKDAYS($F$14,$F$14,Holidays!AC:AC)&lt;1,-1,0),AG32+1)</f>
        <v>74</v>
      </c>
      <c r="AJ32" s="64"/>
      <c r="AK32" s="65" t="n">
        <f aca="false">IF(AJ32="#",IF(NETWORKDAYS($F$14,$F$14,Holidays!AE:AE)&lt;1,-1,0),AI32+1)</f>
        <v>75</v>
      </c>
      <c r="AL32" s="64"/>
      <c r="AM32" s="65" t="n">
        <f aca="false">IF(AL32="#",IF(NETWORKDAYS($F$14,$F$14,Holidays!AG:AG)&lt;1,-1,0),AK32+1)</f>
        <v>76</v>
      </c>
      <c r="AN32" s="64"/>
      <c r="AO32" s="65" t="n">
        <f aca="false">IF(AN32="#",IF(NETWORKDAYS($F$14,$F$14,Holidays!AI:AI)&lt;1,-1,0),AM32+1)</f>
        <v>77</v>
      </c>
      <c r="AP32" s="64"/>
      <c r="AQ32" s="65" t="n">
        <f aca="false">IF(AP32="#",IF(NETWORKDAYS($F$14,$F$14,Holidays!AK:AK)&lt;1,-1,0),AO32+1)</f>
        <v>78</v>
      </c>
      <c r="AR32" s="64"/>
      <c r="AS32" s="65" t="n">
        <f aca="false">IF(AR32="#",IF(NETWORKDAYS($F$14,$F$14,Holidays!AM:AM)&lt;1,-1,0),AQ32+1)</f>
        <v>79</v>
      </c>
      <c r="AT32" s="64"/>
      <c r="AU32" s="65" t="n">
        <f aca="false">IF(AT32="#",IF(NETWORKDAYS($F$14,$F$14,Holidays!AO:AO)&lt;1,-1,0),AS32+1)</f>
        <v>80</v>
      </c>
      <c r="AV32" s="64"/>
      <c r="AW32" s="65" t="n">
        <f aca="false">IF(AV32="#",IF(NETWORKDAYS($F$14,$F$14,Holidays!AQ:AQ)&lt;1,-1,0),AU32+1)</f>
        <v>81</v>
      </c>
      <c r="AX32" s="64"/>
      <c r="AY32" s="65" t="n">
        <f aca="false">IF(AX32="#",IF(NETWORKDAYS($F$14,$F$14,Holidays!AS:AS)&lt;1,-1,0),AW32+1)</f>
        <v>82</v>
      </c>
      <c r="AZ32" s="64"/>
      <c r="BA32" s="65" t="n">
        <f aca="false">IF(AZ32="#",IF(NETWORKDAYS($F$14,$F$14,Holidays!AU:AU)&lt;1,-1,0),AY32+1)</f>
        <v>83</v>
      </c>
      <c r="BB32" s="64"/>
      <c r="BC32" s="65" t="n">
        <f aca="false">IF(BB32="#",IF(NETWORKDAYS($F$14,$F$14,Holidays!AW:AW)&lt;1,-1,0),BA32+1)</f>
        <v>84</v>
      </c>
      <c r="BD32" s="64"/>
      <c r="BE32" s="65" t="n">
        <f aca="false">IF(BD32="#",IF(NETWORKDAYS($F$14,$F$14,Holidays!AY:AY)&lt;1,-1,0),BC32+1)</f>
        <v>85</v>
      </c>
      <c r="BF32" s="64"/>
      <c r="BG32" s="65" t="n">
        <f aca="false">IF(BF32="#",IF(NETWORKDAYS($F$14,$F$14,Holidays!BA:BA)&lt;1,-1,0),BE32+1)</f>
        <v>86</v>
      </c>
      <c r="BH32" s="64"/>
      <c r="BI32" s="65" t="n">
        <f aca="false">IF(BH32="#",IF(NETWORKDAYS($F$14,$F$14,Holidays!BC:BC)&lt;1,-1,0),BG32+1)</f>
        <v>87</v>
      </c>
      <c r="BJ32" s="64"/>
      <c r="BK32" s="65" t="n">
        <f aca="false">IF(BJ32="#",IF(NETWORKDAYS($F$14,$F$14,Holidays!BE:BE)&lt;1,-1,0),BI32+1)</f>
        <v>88</v>
      </c>
      <c r="BL32" s="64"/>
      <c r="BM32" s="65" t="n">
        <f aca="false">IF(BL32="#",IF(NETWORKDAYS($F$14,$F$14,Holidays!BG:BG)&lt;1,-1,0),BK32+1)</f>
        <v>89</v>
      </c>
      <c r="BN32" s="64"/>
      <c r="BO32" s="65" t="n">
        <f aca="false">IF(BN32="#",IF(NETWORKDAYS($F$14,$F$14,Holidays!BI:BI)&lt;1,-1,0),BM32+1)</f>
        <v>90</v>
      </c>
      <c r="BP32" s="64"/>
      <c r="BQ32" s="65" t="n">
        <f aca="false">IF(BP32="#",IF(NETWORKDAYS($F$14,$F$14,Holidays!BK:BK)&lt;1,-1,0),BO32+1)</f>
        <v>91</v>
      </c>
      <c r="BR32" s="13"/>
      <c r="BS32" s="14"/>
    </row>
    <row r="33" customFormat="false" ht="16.5" hidden="false" customHeight="true" outlineLevel="0" collapsed="false">
      <c r="B33" s="40"/>
      <c r="C33" s="66" t="s">
        <v>28</v>
      </c>
      <c r="D33" s="62" t="s">
        <v>27</v>
      </c>
      <c r="E33" s="63" t="n">
        <v>61</v>
      </c>
      <c r="F33" s="64"/>
      <c r="G33" s="65" t="n">
        <f aca="false">IF(F33="#",IF(NETWORKDAYS($F$14,$F$14,Holidays!A:A)&lt;1,-1,0),E33+1)</f>
        <v>62</v>
      </c>
      <c r="H33" s="64"/>
      <c r="I33" s="65" t="n">
        <f aca="false">IF(H33="#",IF(NETWORKDAYS($F$14,$F$14,Holidays!C:C)&lt;1,-1,0),G33+1)</f>
        <v>63</v>
      </c>
      <c r="J33" s="64"/>
      <c r="K33" s="65" t="n">
        <f aca="false">IF(J33="#",IF(NETWORKDAYS($F$14,$F$14,Holidays!E:E)&lt;1,-1,0),I33+1)</f>
        <v>64</v>
      </c>
      <c r="L33" s="64"/>
      <c r="M33" s="65" t="n">
        <f aca="false">IF(L33="#",IF(NETWORKDAYS($F$14,$F$14,Holidays!G:G)&lt;1,-1,0),K33+1)</f>
        <v>65</v>
      </c>
      <c r="N33" s="64"/>
      <c r="O33" s="65" t="n">
        <f aca="false">IF(N33="#",IF(NETWORKDAYS($F$14,$F$14,Holidays!I:I)&lt;1,-1,0),M33+1)</f>
        <v>66</v>
      </c>
      <c r="P33" s="64"/>
      <c r="Q33" s="65" t="n">
        <f aca="false">IF(P33="#",IF(NETWORKDAYS($F$14,$F$14,Holidays!K:K)&lt;1,-1,0),O33+1)</f>
        <v>67</v>
      </c>
      <c r="R33" s="64"/>
      <c r="S33" s="65" t="n">
        <f aca="false">IF(R33="#",IF(NETWORKDAYS($F$14,$F$14,Holidays!M:M)&lt;1,-1,0),Q33+1)</f>
        <v>68</v>
      </c>
      <c r="T33" s="64"/>
      <c r="U33" s="65" t="n">
        <f aca="false">IF(T33="#",IF(NETWORKDAYS($F$14,$F$14,Holidays!O:O)&lt;1,-1,0),S33+1)</f>
        <v>69</v>
      </c>
      <c r="V33" s="64"/>
      <c r="W33" s="65" t="n">
        <f aca="false">IF(V33="#",IF(NETWORKDAYS($F$14,$F$14,Holidays!Q:Q)&lt;1,-1,0),U33+1)</f>
        <v>70</v>
      </c>
      <c r="X33" s="64"/>
      <c r="Y33" s="65" t="n">
        <f aca="false">IF(X33="#",IF(NETWORKDAYS($F$14,$F$14,Holidays!S:S)&lt;1,-1,0),W33+1)</f>
        <v>71</v>
      </c>
      <c r="Z33" s="64"/>
      <c r="AA33" s="65" t="n">
        <f aca="false">IF(Z33="#",IF(NETWORKDAYS($F$14,$F$14,Holidays!U:U)&lt;1,-1,0),Y33+1)</f>
        <v>72</v>
      </c>
      <c r="AB33" s="64"/>
      <c r="AC33" s="65" t="n">
        <f aca="false">IF(AB33="#",IF(NETWORKDAYS($F$14,$F$14,Holidays!W:W)&lt;1,-1,0),AA33+1)</f>
        <v>73</v>
      </c>
      <c r="AD33" s="64"/>
      <c r="AE33" s="65" t="n">
        <f aca="false">IF(AD33="#",IF(NETWORKDAYS($F$14,$F$14,Holidays!Y:Y)&lt;1,-1,0),AC33+1)</f>
        <v>74</v>
      </c>
      <c r="AF33" s="64"/>
      <c r="AG33" s="65" t="n">
        <f aca="false">IF(AF33="#",IF(NETWORKDAYS($F$14,$F$14,Holidays!AA:AA)&lt;1,-1,0),AE33+1)</f>
        <v>75</v>
      </c>
      <c r="AH33" s="64"/>
      <c r="AI33" s="65" t="n">
        <f aca="false">IF(AH33="#",IF(NETWORKDAYS($F$14,$F$14,Holidays!AC:AC)&lt;1,-1,0),AG33+1)</f>
        <v>76</v>
      </c>
      <c r="AJ33" s="64"/>
      <c r="AK33" s="65" t="n">
        <f aca="false">IF(AJ33="#",IF(NETWORKDAYS($F$14,$F$14,Holidays!AE:AE)&lt;1,-1,0),AI33+1)</f>
        <v>77</v>
      </c>
      <c r="AL33" s="64"/>
      <c r="AM33" s="65" t="n">
        <f aca="false">IF(AL33="#",IF(NETWORKDAYS($F$14,$F$14,Holidays!AG:AG)&lt;1,-1,0),AK33+1)</f>
        <v>78</v>
      </c>
      <c r="AN33" s="64"/>
      <c r="AO33" s="65" t="n">
        <f aca="false">IF(AN33="#",IF(NETWORKDAYS($F$14,$F$14,Holidays!AI:AI)&lt;1,-1,0),AM33+1)</f>
        <v>79</v>
      </c>
      <c r="AP33" s="64"/>
      <c r="AQ33" s="65" t="n">
        <f aca="false">IF(AP33="#",IF(NETWORKDAYS($F$14,$F$14,Holidays!AK:AK)&lt;1,-1,0),AO33+1)</f>
        <v>80</v>
      </c>
      <c r="AR33" s="64"/>
      <c r="AS33" s="65" t="n">
        <f aca="false">IF(AR33="#",IF(NETWORKDAYS($F$14,$F$14,Holidays!AM:AM)&lt;1,-1,0),AQ33+1)</f>
        <v>81</v>
      </c>
      <c r="AT33" s="64"/>
      <c r="AU33" s="65" t="n">
        <f aca="false">IF(AT33="#",IF(NETWORKDAYS($F$14,$F$14,Holidays!AO:AO)&lt;1,-1,0),AS33+1)</f>
        <v>82</v>
      </c>
      <c r="AV33" s="64"/>
      <c r="AW33" s="65" t="n">
        <f aca="false">IF(AV33="#",IF(NETWORKDAYS($F$14,$F$14,Holidays!AQ:AQ)&lt;1,-1,0),AU33+1)</f>
        <v>83</v>
      </c>
      <c r="AX33" s="64"/>
      <c r="AY33" s="65" t="n">
        <f aca="false">IF(AX33="#",IF(NETWORKDAYS($F$14,$F$14,Holidays!AS:AS)&lt;1,-1,0),AW33+1)</f>
        <v>84</v>
      </c>
      <c r="AZ33" s="64"/>
      <c r="BA33" s="65" t="n">
        <f aca="false">IF(AZ33="#",IF(NETWORKDAYS($F$14,$F$14,Holidays!AU:AU)&lt;1,-1,0),AY33+1)</f>
        <v>85</v>
      </c>
      <c r="BB33" s="64"/>
      <c r="BC33" s="65" t="n">
        <f aca="false">IF(BB33="#",IF(NETWORKDAYS($F$14,$F$14,Holidays!AW:AW)&lt;1,-1,0),BA33+1)</f>
        <v>86</v>
      </c>
      <c r="BD33" s="64"/>
      <c r="BE33" s="65" t="n">
        <f aca="false">IF(BD33="#",IF(NETWORKDAYS($F$14,$F$14,Holidays!AY:AY)&lt;1,-1,0),BC33+1)</f>
        <v>87</v>
      </c>
      <c r="BF33" s="64"/>
      <c r="BG33" s="65" t="n">
        <f aca="false">IF(BF33="#",IF(NETWORKDAYS($F$14,$F$14,Holidays!BA:BA)&lt;1,-1,0),BE33+1)</f>
        <v>88</v>
      </c>
      <c r="BH33" s="64"/>
      <c r="BI33" s="65" t="n">
        <f aca="false">IF(BH33="#",IF(NETWORKDAYS($F$14,$F$14,Holidays!BC:BC)&lt;1,-1,0),BG33+1)</f>
        <v>89</v>
      </c>
      <c r="BJ33" s="64"/>
      <c r="BK33" s="65" t="n">
        <f aca="false">IF(BJ33="#",IF(NETWORKDAYS($F$14,$F$14,Holidays!BE:BE)&lt;1,-1,0),BI33+1)</f>
        <v>90</v>
      </c>
      <c r="BL33" s="64"/>
      <c r="BM33" s="65" t="n">
        <f aca="false">IF(BL33="#",IF(NETWORKDAYS($F$14,$F$14,Holidays!BG:BG)&lt;1,-1,0),BK33+1)</f>
        <v>91</v>
      </c>
      <c r="BN33" s="64"/>
      <c r="BO33" s="65" t="n">
        <f aca="false">IF(BN33="#",IF(NETWORKDAYS($F$14,$F$14,Holidays!BI:BI)&lt;1,-1,0),BM33+1)</f>
        <v>92</v>
      </c>
      <c r="BP33" s="64"/>
      <c r="BQ33" s="65" t="n">
        <f aca="false">IF(BP33="#",IF(NETWORKDAYS($F$14,$F$14,Holidays!BK:BK)&lt;1,-1,0),BO33+1)</f>
        <v>93</v>
      </c>
      <c r="BR33" s="13"/>
      <c r="BS33" s="14"/>
    </row>
    <row r="34" customFormat="false" ht="16.5" hidden="false" customHeight="true" outlineLevel="0" collapsed="false">
      <c r="B34" s="40"/>
      <c r="C34" s="66" t="s">
        <v>28</v>
      </c>
      <c r="D34" s="62" t="s">
        <v>27</v>
      </c>
      <c r="E34" s="63" t="n">
        <v>59</v>
      </c>
      <c r="F34" s="64"/>
      <c r="G34" s="65" t="n">
        <f aca="false">IF(F34="#",IF(NETWORKDAYS($F$14,$F$14,Holidays!A:A)&lt;1,-1,0),E34+1)</f>
        <v>60</v>
      </c>
      <c r="H34" s="64"/>
      <c r="I34" s="65" t="n">
        <f aca="false">IF(H34="#",IF(NETWORKDAYS($F$14,$F$14,Holidays!C:C)&lt;1,-1,0),G34+1)</f>
        <v>61</v>
      </c>
      <c r="J34" s="64"/>
      <c r="K34" s="65" t="n">
        <f aca="false">IF(J34="#",IF(NETWORKDAYS($F$14,$F$14,Holidays!E:E)&lt;1,-1,0),I34+1)</f>
        <v>62</v>
      </c>
      <c r="L34" s="64"/>
      <c r="M34" s="65" t="n">
        <f aca="false">IF(L34="#",IF(NETWORKDAYS($F$14,$F$14,Holidays!G:G)&lt;1,-1,0),K34+1)</f>
        <v>63</v>
      </c>
      <c r="N34" s="64"/>
      <c r="O34" s="65" t="n">
        <f aca="false">IF(N34="#",IF(NETWORKDAYS($F$14,$F$14,Holidays!I:I)&lt;1,-1,0),M34+1)</f>
        <v>64</v>
      </c>
      <c r="P34" s="64"/>
      <c r="Q34" s="65" t="n">
        <f aca="false">IF(P34="#",IF(NETWORKDAYS($F$14,$F$14,Holidays!K:K)&lt;1,-1,0),O34+1)</f>
        <v>65</v>
      </c>
      <c r="R34" s="64"/>
      <c r="S34" s="65" t="n">
        <f aca="false">IF(R34="#",IF(NETWORKDAYS($F$14,$F$14,Holidays!M:M)&lt;1,-1,0),Q34+1)</f>
        <v>66</v>
      </c>
      <c r="T34" s="64"/>
      <c r="U34" s="65" t="n">
        <f aca="false">IF(T34="#",IF(NETWORKDAYS($F$14,$F$14,Holidays!O:O)&lt;1,-1,0),S34+1)</f>
        <v>67</v>
      </c>
      <c r="V34" s="64"/>
      <c r="W34" s="65" t="n">
        <f aca="false">IF(V34="#",IF(NETWORKDAYS($F$14,$F$14,Holidays!Q:Q)&lt;1,-1,0),U34+1)</f>
        <v>68</v>
      </c>
      <c r="X34" s="64"/>
      <c r="Y34" s="65" t="n">
        <f aca="false">IF(X34="#",IF(NETWORKDAYS($F$14,$F$14,Holidays!S:S)&lt;1,-1,0),W34+1)</f>
        <v>69</v>
      </c>
      <c r="Z34" s="64"/>
      <c r="AA34" s="65" t="n">
        <f aca="false">IF(Z34="#",IF(NETWORKDAYS($F$14,$F$14,Holidays!U:U)&lt;1,-1,0),Y34+1)</f>
        <v>70</v>
      </c>
      <c r="AB34" s="64"/>
      <c r="AC34" s="65" t="n">
        <f aca="false">IF(AB34="#",IF(NETWORKDAYS($F$14,$F$14,Holidays!W:W)&lt;1,-1,0),AA34+1)</f>
        <v>71</v>
      </c>
      <c r="AD34" s="64"/>
      <c r="AE34" s="65" t="n">
        <f aca="false">IF(AD34="#",IF(NETWORKDAYS($F$14,$F$14,Holidays!Y:Y)&lt;1,-1,0),AC34+1)</f>
        <v>72</v>
      </c>
      <c r="AF34" s="64"/>
      <c r="AG34" s="65" t="n">
        <f aca="false">IF(AF34="#",IF(NETWORKDAYS($F$14,$F$14,Holidays!AA:AA)&lt;1,-1,0),AE34+1)</f>
        <v>73</v>
      </c>
      <c r="AH34" s="64"/>
      <c r="AI34" s="65" t="n">
        <f aca="false">IF(AH34="#",IF(NETWORKDAYS($F$14,$F$14,Holidays!AC:AC)&lt;1,-1,0),AG34+1)</f>
        <v>74</v>
      </c>
      <c r="AJ34" s="64"/>
      <c r="AK34" s="65" t="n">
        <f aca="false">IF(AJ34="#",IF(NETWORKDAYS($F$14,$F$14,Holidays!AE:AE)&lt;1,-1,0),AI34+1)</f>
        <v>75</v>
      </c>
      <c r="AL34" s="64"/>
      <c r="AM34" s="65" t="n">
        <f aca="false">IF(AL34="#",IF(NETWORKDAYS($F$14,$F$14,Holidays!AG:AG)&lt;1,-1,0),AK34+1)</f>
        <v>76</v>
      </c>
      <c r="AN34" s="64"/>
      <c r="AO34" s="65" t="n">
        <f aca="false">IF(AN34="#",IF(NETWORKDAYS($F$14,$F$14,Holidays!AI:AI)&lt;1,-1,0),AM34+1)</f>
        <v>77</v>
      </c>
      <c r="AP34" s="64"/>
      <c r="AQ34" s="65" t="n">
        <f aca="false">IF(AP34="#",IF(NETWORKDAYS($F$14,$F$14,Holidays!AK:AK)&lt;1,-1,0),AO34+1)</f>
        <v>78</v>
      </c>
      <c r="AR34" s="64"/>
      <c r="AS34" s="65" t="n">
        <f aca="false">IF(AR34="#",IF(NETWORKDAYS($F$14,$F$14,Holidays!AM:AM)&lt;1,-1,0),AQ34+1)</f>
        <v>79</v>
      </c>
      <c r="AT34" s="64"/>
      <c r="AU34" s="65" t="n">
        <f aca="false">IF(AT34="#",IF(NETWORKDAYS($F$14,$F$14,Holidays!AO:AO)&lt;1,-1,0),AS34+1)</f>
        <v>80</v>
      </c>
      <c r="AV34" s="64"/>
      <c r="AW34" s="65" t="n">
        <f aca="false">IF(AV34="#",IF(NETWORKDAYS($F$14,$F$14,Holidays!AQ:AQ)&lt;1,-1,0),AU34+1)</f>
        <v>81</v>
      </c>
      <c r="AX34" s="64"/>
      <c r="AY34" s="65" t="n">
        <f aca="false">IF(AX34="#",IF(NETWORKDAYS($F$14,$F$14,Holidays!AS:AS)&lt;1,-1,0),AW34+1)</f>
        <v>82</v>
      </c>
      <c r="AZ34" s="64"/>
      <c r="BA34" s="65" t="n">
        <f aca="false">IF(AZ34="#",IF(NETWORKDAYS($F$14,$F$14,Holidays!AU:AU)&lt;1,-1,0),AY34+1)</f>
        <v>83</v>
      </c>
      <c r="BB34" s="64"/>
      <c r="BC34" s="65" t="n">
        <f aca="false">IF(BB34="#",IF(NETWORKDAYS($F$14,$F$14,Holidays!AW:AW)&lt;1,-1,0),BA34+1)</f>
        <v>84</v>
      </c>
      <c r="BD34" s="64"/>
      <c r="BE34" s="65" t="n">
        <f aca="false">IF(BD34="#",IF(NETWORKDAYS($F$14,$F$14,Holidays!AY:AY)&lt;1,-1,0),BC34+1)</f>
        <v>85</v>
      </c>
      <c r="BF34" s="64"/>
      <c r="BG34" s="65" t="n">
        <f aca="false">IF(BF34="#",IF(NETWORKDAYS($F$14,$F$14,Holidays!BA:BA)&lt;1,-1,0),BE34+1)</f>
        <v>86</v>
      </c>
      <c r="BH34" s="64"/>
      <c r="BI34" s="65" t="n">
        <f aca="false">IF(BH34="#",IF(NETWORKDAYS($F$14,$F$14,Holidays!BC:BC)&lt;1,-1,0),BG34+1)</f>
        <v>87</v>
      </c>
      <c r="BJ34" s="64"/>
      <c r="BK34" s="65" t="n">
        <f aca="false">IF(BJ34="#",IF(NETWORKDAYS($F$14,$F$14,Holidays!BE:BE)&lt;1,-1,0),BI34+1)</f>
        <v>88</v>
      </c>
      <c r="BL34" s="64"/>
      <c r="BM34" s="65" t="n">
        <f aca="false">IF(BL34="#",IF(NETWORKDAYS($F$14,$F$14,Holidays!BG:BG)&lt;1,-1,0),BK34+1)</f>
        <v>89</v>
      </c>
      <c r="BN34" s="64"/>
      <c r="BO34" s="65" t="n">
        <f aca="false">IF(BN34="#",IF(NETWORKDAYS($F$14,$F$14,Holidays!BI:BI)&lt;1,-1,0),BM34+1)</f>
        <v>90</v>
      </c>
      <c r="BP34" s="64"/>
      <c r="BQ34" s="65" t="n">
        <f aca="false">IF(BP34="#",IF(NETWORKDAYS($F$14,$F$14,Holidays!BK:BK)&lt;1,-1,0),BO34+1)</f>
        <v>91</v>
      </c>
      <c r="BR34" s="13"/>
      <c r="BS34" s="14"/>
    </row>
    <row r="35" customFormat="false" ht="16.5" hidden="false" customHeight="true" outlineLevel="0" collapsed="false">
      <c r="B35" s="40"/>
      <c r="C35" s="66" t="s">
        <v>28</v>
      </c>
      <c r="D35" s="62" t="s">
        <v>27</v>
      </c>
      <c r="E35" s="63" t="n">
        <v>81</v>
      </c>
      <c r="F35" s="64"/>
      <c r="G35" s="65" t="n">
        <f aca="false">IF(F35="#",IF(NETWORKDAYS($F$14,$F$14,Holidays!A:A)&lt;1,-1,0),E35+1)</f>
        <v>82</v>
      </c>
      <c r="H35" s="64"/>
      <c r="I35" s="65" t="n">
        <f aca="false">IF(H35="#",IF(NETWORKDAYS($F$14,$F$14,Holidays!C:C)&lt;1,-1,0),G35+1)</f>
        <v>83</v>
      </c>
      <c r="J35" s="64"/>
      <c r="K35" s="65" t="n">
        <f aca="false">IF(J35="#",IF(NETWORKDAYS($F$14,$F$14,Holidays!E:E)&lt;1,-1,0),I35+1)</f>
        <v>84</v>
      </c>
      <c r="L35" s="64"/>
      <c r="M35" s="65" t="n">
        <f aca="false">IF(L35="#",IF(NETWORKDAYS($F$14,$F$14,Holidays!G:G)&lt;1,-1,0),K35+1)</f>
        <v>85</v>
      </c>
      <c r="N35" s="64"/>
      <c r="O35" s="65" t="n">
        <f aca="false">IF(N35="#",IF(NETWORKDAYS($F$14,$F$14,Holidays!I:I)&lt;1,-1,0),M35+1)</f>
        <v>86</v>
      </c>
      <c r="P35" s="64"/>
      <c r="Q35" s="65" t="n">
        <f aca="false">IF(P35="#",IF(NETWORKDAYS($F$14,$F$14,Holidays!K:K)&lt;1,-1,0),O35+1)</f>
        <v>87</v>
      </c>
      <c r="R35" s="64"/>
      <c r="S35" s="65" t="n">
        <f aca="false">IF(R35="#",IF(NETWORKDAYS($F$14,$F$14,Holidays!M:M)&lt;1,-1,0),Q35+1)</f>
        <v>88</v>
      </c>
      <c r="T35" s="64"/>
      <c r="U35" s="65" t="n">
        <f aca="false">IF(T35="#",IF(NETWORKDAYS($F$14,$F$14,Holidays!O:O)&lt;1,-1,0),S35+1)</f>
        <v>89</v>
      </c>
      <c r="V35" s="64"/>
      <c r="W35" s="65" t="n">
        <f aca="false">IF(V35="#",IF(NETWORKDAYS($F$14,$F$14,Holidays!Q:Q)&lt;1,-1,0),U35+1)</f>
        <v>90</v>
      </c>
      <c r="X35" s="64"/>
      <c r="Y35" s="65" t="n">
        <f aca="false">IF(X35="#",IF(NETWORKDAYS($F$14,$F$14,Holidays!S:S)&lt;1,-1,0),W35+1)</f>
        <v>91</v>
      </c>
      <c r="Z35" s="64"/>
      <c r="AA35" s="65" t="n">
        <f aca="false">IF(Z35="#",IF(NETWORKDAYS($F$14,$F$14,Holidays!U:U)&lt;1,-1,0),Y35+1)</f>
        <v>92</v>
      </c>
      <c r="AB35" s="64"/>
      <c r="AC35" s="65" t="n">
        <f aca="false">IF(AB35="#",IF(NETWORKDAYS($F$14,$F$14,Holidays!W:W)&lt;1,-1,0),AA35+1)</f>
        <v>93</v>
      </c>
      <c r="AD35" s="64"/>
      <c r="AE35" s="65" t="n">
        <f aca="false">IF(AD35="#",IF(NETWORKDAYS($F$14,$F$14,Holidays!Y:Y)&lt;1,-1,0),AC35+1)</f>
        <v>94</v>
      </c>
      <c r="AF35" s="64"/>
      <c r="AG35" s="65" t="n">
        <f aca="false">IF(AF35="#",IF(NETWORKDAYS($F$14,$F$14,Holidays!AA:AA)&lt;1,-1,0),AE35+1)</f>
        <v>95</v>
      </c>
      <c r="AH35" s="64"/>
      <c r="AI35" s="65" t="n">
        <f aca="false">IF(AH35="#",IF(NETWORKDAYS($F$14,$F$14,Holidays!AC:AC)&lt;1,-1,0),AG35+1)</f>
        <v>96</v>
      </c>
      <c r="AJ35" s="64"/>
      <c r="AK35" s="65" t="n">
        <f aca="false">IF(AJ35="#",IF(NETWORKDAYS($F$14,$F$14,Holidays!AE:AE)&lt;1,-1,0),AI35+1)</f>
        <v>97</v>
      </c>
      <c r="AL35" s="64"/>
      <c r="AM35" s="65" t="n">
        <f aca="false">IF(AL35="#",IF(NETWORKDAYS($F$14,$F$14,Holidays!AG:AG)&lt;1,-1,0),AK35+1)</f>
        <v>98</v>
      </c>
      <c r="AN35" s="64"/>
      <c r="AO35" s="65" t="n">
        <f aca="false">IF(AN35="#",IF(NETWORKDAYS($F$14,$F$14,Holidays!AI:AI)&lt;1,-1,0),AM35+1)</f>
        <v>99</v>
      </c>
      <c r="AP35" s="64"/>
      <c r="AQ35" s="65" t="n">
        <f aca="false">IF(AP35="#",IF(NETWORKDAYS($F$14,$F$14,Holidays!AK:AK)&lt;1,-1,0),AO35+1)</f>
        <v>100</v>
      </c>
      <c r="AR35" s="64"/>
      <c r="AS35" s="65" t="n">
        <f aca="false">IF(AR35="#",IF(NETWORKDAYS($F$14,$F$14,Holidays!AM:AM)&lt;1,-1,0),AQ35+1)</f>
        <v>101</v>
      </c>
      <c r="AT35" s="64"/>
      <c r="AU35" s="65" t="n">
        <f aca="false">IF(AT35="#",IF(NETWORKDAYS($F$14,$F$14,Holidays!AO:AO)&lt;1,-1,0),AS35+1)</f>
        <v>102</v>
      </c>
      <c r="AV35" s="64"/>
      <c r="AW35" s="65" t="n">
        <f aca="false">IF(AV35="#",IF(NETWORKDAYS($F$14,$F$14,Holidays!AQ:AQ)&lt;1,-1,0),AU35+1)</f>
        <v>103</v>
      </c>
      <c r="AX35" s="64"/>
      <c r="AY35" s="65" t="n">
        <f aca="false">IF(AX35="#",IF(NETWORKDAYS($F$14,$F$14,Holidays!AS:AS)&lt;1,-1,0),AW35+1)</f>
        <v>104</v>
      </c>
      <c r="AZ35" s="64"/>
      <c r="BA35" s="65" t="n">
        <f aca="false">IF(AZ35="#",IF(NETWORKDAYS($F$14,$F$14,Holidays!AU:AU)&lt;1,-1,0),AY35+1)</f>
        <v>105</v>
      </c>
      <c r="BB35" s="64"/>
      <c r="BC35" s="65" t="n">
        <f aca="false">IF(BB35="#",IF(NETWORKDAYS($F$14,$F$14,Holidays!AW:AW)&lt;1,-1,0),BA35+1)</f>
        <v>106</v>
      </c>
      <c r="BD35" s="64"/>
      <c r="BE35" s="65" t="n">
        <f aca="false">IF(BD35="#",IF(NETWORKDAYS($F$14,$F$14,Holidays!AY:AY)&lt;1,-1,0),BC35+1)</f>
        <v>107</v>
      </c>
      <c r="BF35" s="64"/>
      <c r="BG35" s="65" t="n">
        <f aca="false">IF(BF35="#",IF(NETWORKDAYS($F$14,$F$14,Holidays!BA:BA)&lt;1,-1,0),BE35+1)</f>
        <v>108</v>
      </c>
      <c r="BH35" s="64"/>
      <c r="BI35" s="65" t="n">
        <f aca="false">IF(BH35="#",IF(NETWORKDAYS($F$14,$F$14,Holidays!BC:BC)&lt;1,-1,0),BG35+1)</f>
        <v>109</v>
      </c>
      <c r="BJ35" s="64"/>
      <c r="BK35" s="65" t="n">
        <f aca="false">IF(BJ35="#",IF(NETWORKDAYS($F$14,$F$14,Holidays!BE:BE)&lt;1,-1,0),BI35+1)</f>
        <v>110</v>
      </c>
      <c r="BL35" s="64"/>
      <c r="BM35" s="65" t="n">
        <f aca="false">IF(BL35="#",IF(NETWORKDAYS($F$14,$F$14,Holidays!BG:BG)&lt;1,-1,0),BK35+1)</f>
        <v>111</v>
      </c>
      <c r="BN35" s="64"/>
      <c r="BO35" s="65" t="n">
        <f aca="false">IF(BN35="#",IF(NETWORKDAYS($F$14,$F$14,Holidays!BI:BI)&lt;1,-1,0),BM35+1)</f>
        <v>112</v>
      </c>
      <c r="BP35" s="64"/>
      <c r="BQ35" s="65" t="n">
        <f aca="false">IF(BP35="#",IF(NETWORKDAYS($F$14,$F$14,Holidays!BK:BK)&lt;1,-1,0),BO35+1)</f>
        <v>113</v>
      </c>
      <c r="BR35" s="13"/>
      <c r="BS35" s="14"/>
    </row>
    <row r="36" customFormat="false" ht="16.5" hidden="false" customHeight="true" outlineLevel="0" collapsed="false">
      <c r="A36" s="69"/>
      <c r="B36" s="70"/>
      <c r="C36" s="66" t="s">
        <v>28</v>
      </c>
      <c r="D36" s="62" t="s">
        <v>27</v>
      </c>
      <c r="E36" s="63" t="n">
        <v>-100</v>
      </c>
      <c r="F36" s="64"/>
      <c r="G36" s="65" t="n">
        <f aca="false">IF(F36="#",IF(NETWORKDAYS($F$14,$F$14,Holidays!A:A)&lt;1,-1,0),E36+1)</f>
        <v>-99</v>
      </c>
      <c r="H36" s="64"/>
      <c r="I36" s="65" t="n">
        <f aca="false">IF(H36="#",IF(NETWORKDAYS($F$14,$F$14,Holidays!C:C)&lt;1,-1,0),G36+1)</f>
        <v>-98</v>
      </c>
      <c r="J36" s="64"/>
      <c r="K36" s="65" t="n">
        <f aca="false">IF(J36="#",IF(NETWORKDAYS($F$14,$F$14,Holidays!E:E)&lt;1,-1,0),I36+1)</f>
        <v>-97</v>
      </c>
      <c r="L36" s="64"/>
      <c r="M36" s="65" t="n">
        <f aca="false">IF(L36="#",IF(NETWORKDAYS($F$14,$F$14,Holidays!G:G)&lt;1,-1,0),K36+1)</f>
        <v>-96</v>
      </c>
      <c r="N36" s="64"/>
      <c r="O36" s="65" t="n">
        <f aca="false">IF(N36="#",IF(NETWORKDAYS($F$14,$F$14,Holidays!I:I)&lt;1,-1,0),M36+1)</f>
        <v>-95</v>
      </c>
      <c r="P36" s="64"/>
      <c r="Q36" s="65" t="n">
        <f aca="false">IF(P36="#",IF(NETWORKDAYS($F$14,$F$14,Holidays!K:K)&lt;1,-1,0),O36+1)</f>
        <v>-94</v>
      </c>
      <c r="R36" s="64"/>
      <c r="S36" s="65" t="n">
        <f aca="false">IF(R36="#",IF(NETWORKDAYS($F$14,$F$14,Holidays!M:M)&lt;1,-1,0),Q36+1)</f>
        <v>-93</v>
      </c>
      <c r="T36" s="64"/>
      <c r="U36" s="65" t="n">
        <f aca="false">IF(T36="#",IF(NETWORKDAYS($F$14,$F$14,Holidays!O:O)&lt;1,-1,0),S36+1)</f>
        <v>-92</v>
      </c>
      <c r="V36" s="64"/>
      <c r="W36" s="65" t="n">
        <f aca="false">IF(V36="#",IF(NETWORKDAYS($F$14,$F$14,Holidays!Q:Q)&lt;1,-1,0),U36+1)</f>
        <v>-91</v>
      </c>
      <c r="X36" s="64"/>
      <c r="Y36" s="65" t="n">
        <f aca="false">IF(X36="#",IF(NETWORKDAYS($F$14,$F$14,Holidays!S:S)&lt;1,-1,0),W36+1)</f>
        <v>-90</v>
      </c>
      <c r="Z36" s="64"/>
      <c r="AA36" s="65" t="n">
        <f aca="false">IF(Z36="#",IF(NETWORKDAYS($F$14,$F$14,Holidays!U:U)&lt;1,-1,0),Y36+1)</f>
        <v>-89</v>
      </c>
      <c r="AB36" s="64"/>
      <c r="AC36" s="65" t="n">
        <f aca="false">IF(AB36="#",IF(NETWORKDAYS($F$14,$F$14,Holidays!W:W)&lt;1,-1,0),AA36+1)</f>
        <v>-88</v>
      </c>
      <c r="AD36" s="64"/>
      <c r="AE36" s="65" t="n">
        <f aca="false">IF(AD36="#",IF(NETWORKDAYS($F$14,$F$14,Holidays!Y:Y)&lt;1,-1,0),AC36+1)</f>
        <v>-87</v>
      </c>
      <c r="AF36" s="64"/>
      <c r="AG36" s="65" t="n">
        <f aca="false">IF(AF36="#",IF(NETWORKDAYS($F$14,$F$14,Holidays!AA:AA)&lt;1,-1,0),AE36+1)</f>
        <v>-86</v>
      </c>
      <c r="AH36" s="64"/>
      <c r="AI36" s="65" t="n">
        <f aca="false">IF(AH36="#",IF(NETWORKDAYS($F$14,$F$14,Holidays!AC:AC)&lt;1,-1,0),AG36+1)</f>
        <v>-85</v>
      </c>
      <c r="AJ36" s="64"/>
      <c r="AK36" s="65" t="n">
        <f aca="false">IF(AJ36="#",IF(NETWORKDAYS($F$14,$F$14,Holidays!AE:AE)&lt;1,-1,0),AI36+1)</f>
        <v>-84</v>
      </c>
      <c r="AL36" s="64"/>
      <c r="AM36" s="65" t="n">
        <f aca="false">IF(AL36="#",IF(NETWORKDAYS($F$14,$F$14,Holidays!AG:AG)&lt;1,-1,0),AK36+1)</f>
        <v>-83</v>
      </c>
      <c r="AN36" s="64"/>
      <c r="AO36" s="65" t="n">
        <f aca="false">IF(AN36="#",IF(NETWORKDAYS($F$14,$F$14,Holidays!AI:AI)&lt;1,-1,0),AM36+1)</f>
        <v>-82</v>
      </c>
      <c r="AP36" s="64"/>
      <c r="AQ36" s="65" t="n">
        <f aca="false">IF(AP36="#",IF(NETWORKDAYS($F$14,$F$14,Holidays!AK:AK)&lt;1,-1,0),AO36+1)</f>
        <v>-81</v>
      </c>
      <c r="AR36" s="64"/>
      <c r="AS36" s="65" t="n">
        <f aca="false">IF(AR36="#",IF(NETWORKDAYS($F$14,$F$14,Holidays!AM:AM)&lt;1,-1,0),AQ36+1)</f>
        <v>-80</v>
      </c>
      <c r="AT36" s="64"/>
      <c r="AU36" s="65" t="n">
        <f aca="false">IF(AT36="#",IF(NETWORKDAYS($F$14,$F$14,Holidays!AO:AO)&lt;1,-1,0),AS36+1)</f>
        <v>-79</v>
      </c>
      <c r="AV36" s="64"/>
      <c r="AW36" s="65" t="n">
        <f aca="false">IF(AV36="#",IF(NETWORKDAYS($F$14,$F$14,Holidays!AQ:AQ)&lt;1,-1,0),AU36+1)</f>
        <v>-78</v>
      </c>
      <c r="AX36" s="64"/>
      <c r="AY36" s="65" t="n">
        <f aca="false">IF(AX36="#",IF(NETWORKDAYS($F$14,$F$14,Holidays!AS:AS)&lt;1,-1,0),AW36+1)</f>
        <v>-77</v>
      </c>
      <c r="AZ36" s="64"/>
      <c r="BA36" s="65" t="n">
        <f aca="false">IF(AZ36="#",IF(NETWORKDAYS($F$14,$F$14,Holidays!AU:AU)&lt;1,-1,0),AY36+1)</f>
        <v>-76</v>
      </c>
      <c r="BB36" s="64"/>
      <c r="BC36" s="65" t="n">
        <f aca="false">IF(BB36="#",IF(NETWORKDAYS($F$14,$F$14,Holidays!AW:AW)&lt;1,-1,0),BA36+1)</f>
        <v>-75</v>
      </c>
      <c r="BD36" s="64"/>
      <c r="BE36" s="65" t="n">
        <f aca="false">IF(BD36="#",IF(NETWORKDAYS($F$14,$F$14,Holidays!AY:AY)&lt;1,-1,0),BC36+1)</f>
        <v>-74</v>
      </c>
      <c r="BF36" s="64"/>
      <c r="BG36" s="65" t="n">
        <f aca="false">IF(BF36="#",IF(NETWORKDAYS($F$14,$F$14,Holidays!BA:BA)&lt;1,-1,0),BE36+1)</f>
        <v>-73</v>
      </c>
      <c r="BH36" s="64"/>
      <c r="BI36" s="65" t="n">
        <f aca="false">IF(BH36="#",IF(NETWORKDAYS($F$14,$F$14,Holidays!BC:BC)&lt;1,-1,0),BG36+1)</f>
        <v>-72</v>
      </c>
      <c r="BJ36" s="64"/>
      <c r="BK36" s="65" t="n">
        <f aca="false">IF(BJ36="#",IF(NETWORKDAYS($F$14,$F$14,Holidays!BE:BE)&lt;1,-1,0),BI36+1)</f>
        <v>-71</v>
      </c>
      <c r="BL36" s="64"/>
      <c r="BM36" s="65" t="n">
        <f aca="false">IF(BL36="#",IF(NETWORKDAYS($F$14,$F$14,Holidays!BG:BG)&lt;1,-1,0),BK36+1)</f>
        <v>-70</v>
      </c>
      <c r="BN36" s="64"/>
      <c r="BO36" s="65" t="n">
        <f aca="false">IF(BN36="#",IF(NETWORKDAYS($F$14,$F$14,Holidays!BI:BI)&lt;1,-1,0),BM36+1)</f>
        <v>-69</v>
      </c>
      <c r="BP36" s="64"/>
      <c r="BQ36" s="65" t="n">
        <f aca="false">IF(BP36="#",IF(NETWORKDAYS($F$14,$F$14,Holidays!BK:BK)&lt;1,-1,0),BO36+1)</f>
        <v>-68</v>
      </c>
      <c r="BR36" s="71"/>
      <c r="BS36" s="72"/>
    </row>
    <row r="37" customFormat="false" ht="16.5" hidden="false" customHeight="true" outlineLevel="0" collapsed="false">
      <c r="B37" s="40"/>
      <c r="C37" s="66" t="s">
        <v>28</v>
      </c>
      <c r="D37" s="62" t="s">
        <v>27</v>
      </c>
      <c r="E37" s="63" t="n">
        <v>29</v>
      </c>
      <c r="F37" s="64"/>
      <c r="G37" s="65" t="n">
        <f aca="false">IF(F37="#",IF(NETWORKDAYS($F$14,$F$14,Holidays!A:A)&lt;1,-1,0),E37+1)</f>
        <v>30</v>
      </c>
      <c r="H37" s="64"/>
      <c r="I37" s="65" t="n">
        <f aca="false">IF(H37="#",IF(NETWORKDAYS($F$14,$F$14,Holidays!C:C)&lt;1,-1,0),G37+1)</f>
        <v>31</v>
      </c>
      <c r="J37" s="64"/>
      <c r="K37" s="65" t="n">
        <f aca="false">IF(J37="#",IF(NETWORKDAYS($F$14,$F$14,Holidays!E:E)&lt;1,-1,0),I37+1)</f>
        <v>32</v>
      </c>
      <c r="L37" s="64"/>
      <c r="M37" s="65" t="n">
        <f aca="false">IF(L37="#",IF(NETWORKDAYS($F$14,$F$14,Holidays!G:G)&lt;1,-1,0),K37+1)</f>
        <v>33</v>
      </c>
      <c r="N37" s="64"/>
      <c r="O37" s="65" t="n">
        <f aca="false">IF(N37="#",IF(NETWORKDAYS($F$14,$F$14,Holidays!I:I)&lt;1,-1,0),M37+1)</f>
        <v>34</v>
      </c>
      <c r="P37" s="64"/>
      <c r="Q37" s="65" t="n">
        <f aca="false">IF(P37="#",IF(NETWORKDAYS($F$14,$F$14,Holidays!K:K)&lt;1,-1,0),O37+1)</f>
        <v>35</v>
      </c>
      <c r="R37" s="64"/>
      <c r="S37" s="65" t="n">
        <f aca="false">IF(R37="#",IF(NETWORKDAYS($F$14,$F$14,Holidays!M:M)&lt;1,-1,0),Q37+1)</f>
        <v>36</v>
      </c>
      <c r="T37" s="64"/>
      <c r="U37" s="65" t="n">
        <f aca="false">IF(T37="#",IF(NETWORKDAYS($F$14,$F$14,Holidays!O:O)&lt;1,-1,0),S37+1)</f>
        <v>37</v>
      </c>
      <c r="V37" s="64"/>
      <c r="W37" s="65" t="n">
        <f aca="false">IF(V37="#",IF(NETWORKDAYS($F$14,$F$14,Holidays!Q:Q)&lt;1,-1,0),U37+1)</f>
        <v>38</v>
      </c>
      <c r="X37" s="64"/>
      <c r="Y37" s="65" t="n">
        <f aca="false">IF(X37="#",IF(NETWORKDAYS($F$14,$F$14,Holidays!S:S)&lt;1,-1,0),W37+1)</f>
        <v>39</v>
      </c>
      <c r="Z37" s="64"/>
      <c r="AA37" s="65" t="n">
        <f aca="false">IF(Z37="#",IF(NETWORKDAYS($F$14,$F$14,Holidays!U:U)&lt;1,-1,0),Y37+1)</f>
        <v>40</v>
      </c>
      <c r="AB37" s="64"/>
      <c r="AC37" s="65" t="n">
        <f aca="false">IF(AB37="#",IF(NETWORKDAYS($F$14,$F$14,Holidays!W:W)&lt;1,-1,0),AA37+1)</f>
        <v>41</v>
      </c>
      <c r="AD37" s="64"/>
      <c r="AE37" s="65" t="n">
        <f aca="false">IF(AD37="#",IF(NETWORKDAYS($F$14,$F$14,Holidays!Y:Y)&lt;1,-1,0),AC37+1)</f>
        <v>42</v>
      </c>
      <c r="AF37" s="64"/>
      <c r="AG37" s="65" t="n">
        <f aca="false">IF(AF37="#",IF(NETWORKDAYS($F$14,$F$14,Holidays!AA:AA)&lt;1,-1,0),AE37+1)</f>
        <v>43</v>
      </c>
      <c r="AH37" s="64"/>
      <c r="AI37" s="65" t="n">
        <f aca="false">IF(AH37="#",IF(NETWORKDAYS($F$14,$F$14,Holidays!AC:AC)&lt;1,-1,0),AG37+1)</f>
        <v>44</v>
      </c>
      <c r="AJ37" s="64"/>
      <c r="AK37" s="65" t="n">
        <f aca="false">IF(AJ37="#",IF(NETWORKDAYS($F$14,$F$14,Holidays!AE:AE)&lt;1,-1,0),AI37+1)</f>
        <v>45</v>
      </c>
      <c r="AL37" s="64"/>
      <c r="AM37" s="65" t="n">
        <f aca="false">IF(AL37="#",IF(NETWORKDAYS($F$14,$F$14,Holidays!AG:AG)&lt;1,-1,0),AK37+1)</f>
        <v>46</v>
      </c>
      <c r="AN37" s="64"/>
      <c r="AO37" s="65" t="n">
        <f aca="false">IF(AN37="#",IF(NETWORKDAYS($F$14,$F$14,Holidays!AI:AI)&lt;1,-1,0),AM37+1)</f>
        <v>47</v>
      </c>
      <c r="AP37" s="64"/>
      <c r="AQ37" s="65" t="n">
        <f aca="false">IF(AP37="#",IF(NETWORKDAYS($F$14,$F$14,Holidays!AK:AK)&lt;1,-1,0),AO37+1)</f>
        <v>48</v>
      </c>
      <c r="AR37" s="64"/>
      <c r="AS37" s="65" t="n">
        <f aca="false">IF(AR37="#",IF(NETWORKDAYS($F$14,$F$14,Holidays!AM:AM)&lt;1,-1,0),AQ37+1)</f>
        <v>49</v>
      </c>
      <c r="AT37" s="64"/>
      <c r="AU37" s="65" t="n">
        <f aca="false">IF(AT37="#",IF(NETWORKDAYS($F$14,$F$14,Holidays!AO:AO)&lt;1,-1,0),AS37+1)</f>
        <v>50</v>
      </c>
      <c r="AV37" s="64"/>
      <c r="AW37" s="65" t="n">
        <f aca="false">IF(AV37="#",IF(NETWORKDAYS($F$14,$F$14,Holidays!AQ:AQ)&lt;1,-1,0),AU37+1)</f>
        <v>51</v>
      </c>
      <c r="AX37" s="64"/>
      <c r="AY37" s="65" t="n">
        <f aca="false">IF(AX37="#",IF(NETWORKDAYS($F$14,$F$14,Holidays!AS:AS)&lt;1,-1,0),AW37+1)</f>
        <v>52</v>
      </c>
      <c r="AZ37" s="64"/>
      <c r="BA37" s="65" t="n">
        <f aca="false">IF(AZ37="#",IF(NETWORKDAYS($F$14,$F$14,Holidays!AU:AU)&lt;1,-1,0),AY37+1)</f>
        <v>53</v>
      </c>
      <c r="BB37" s="64"/>
      <c r="BC37" s="65" t="n">
        <f aca="false">IF(BB37="#",IF(NETWORKDAYS($F$14,$F$14,Holidays!AW:AW)&lt;1,-1,0),BA37+1)</f>
        <v>54</v>
      </c>
      <c r="BD37" s="64"/>
      <c r="BE37" s="65" t="n">
        <f aca="false">IF(BD37="#",IF(NETWORKDAYS($F$14,$F$14,Holidays!AY:AY)&lt;1,-1,0),BC37+1)</f>
        <v>55</v>
      </c>
      <c r="BF37" s="64"/>
      <c r="BG37" s="65" t="n">
        <f aca="false">IF(BF37="#",IF(NETWORKDAYS($F$14,$F$14,Holidays!BA:BA)&lt;1,-1,0),BE37+1)</f>
        <v>56</v>
      </c>
      <c r="BH37" s="64"/>
      <c r="BI37" s="65" t="n">
        <f aca="false">IF(BH37="#",IF(NETWORKDAYS($F$14,$F$14,Holidays!BC:BC)&lt;1,-1,0),BG37+1)</f>
        <v>57</v>
      </c>
      <c r="BJ37" s="64"/>
      <c r="BK37" s="65" t="n">
        <f aca="false">IF(BJ37="#",IF(NETWORKDAYS($F$14,$F$14,Holidays!BE:BE)&lt;1,-1,0),BI37+1)</f>
        <v>58</v>
      </c>
      <c r="BL37" s="64"/>
      <c r="BM37" s="65" t="n">
        <f aca="false">IF(BL37="#",IF(NETWORKDAYS($F$14,$F$14,Holidays!BG:BG)&lt;1,-1,0),BK37+1)</f>
        <v>59</v>
      </c>
      <c r="BN37" s="64"/>
      <c r="BO37" s="65" t="n">
        <f aca="false">IF(BN37="#",IF(NETWORKDAYS($F$14,$F$14,Holidays!BI:BI)&lt;1,-1,0),BM37+1)</f>
        <v>60</v>
      </c>
      <c r="BP37" s="64"/>
      <c r="BQ37" s="65" t="n">
        <f aca="false">IF(BP37="#",IF(NETWORKDAYS($F$14,$F$14,Holidays!BK:BK)&lt;1,-1,0),BO37+1)</f>
        <v>61</v>
      </c>
      <c r="BR37" s="13"/>
      <c r="BS37" s="14"/>
    </row>
    <row r="38" customFormat="false" ht="16.5" hidden="false" customHeight="true" outlineLevel="0" collapsed="false">
      <c r="B38" s="40"/>
      <c r="C38" s="66" t="s">
        <v>28</v>
      </c>
      <c r="D38" s="62" t="s">
        <v>27</v>
      </c>
      <c r="E38" s="63" t="n">
        <v>39</v>
      </c>
      <c r="F38" s="64"/>
      <c r="G38" s="65" t="n">
        <f aca="false">IF(F38="#",IF(NETWORKDAYS($F$14,$F$14,Holidays!A:A)&lt;1,-1,0),E38+1)</f>
        <v>40</v>
      </c>
      <c r="H38" s="64"/>
      <c r="I38" s="65" t="n">
        <f aca="false">IF(H38="#",IF(NETWORKDAYS($F$14,$F$14,Holidays!C:C)&lt;1,-1,0),G38+1)</f>
        <v>41</v>
      </c>
      <c r="J38" s="64"/>
      <c r="K38" s="65" t="n">
        <f aca="false">IF(J38="#",IF(NETWORKDAYS($F$14,$F$14,Holidays!E:E)&lt;1,-1,0),I38+1)</f>
        <v>42</v>
      </c>
      <c r="L38" s="64"/>
      <c r="M38" s="65" t="n">
        <f aca="false">IF(L38="#",IF(NETWORKDAYS($F$14,$F$14,Holidays!G:G)&lt;1,-1,0),K38+1)</f>
        <v>43</v>
      </c>
      <c r="N38" s="64"/>
      <c r="O38" s="65" t="n">
        <f aca="false">IF(N38="#",IF(NETWORKDAYS($F$14,$F$14,Holidays!I:I)&lt;1,-1,0),M38+1)</f>
        <v>44</v>
      </c>
      <c r="P38" s="64"/>
      <c r="Q38" s="65" t="n">
        <f aca="false">IF(P38="#",IF(NETWORKDAYS($F$14,$F$14,Holidays!K:K)&lt;1,-1,0),O38+1)</f>
        <v>45</v>
      </c>
      <c r="R38" s="64"/>
      <c r="S38" s="65" t="n">
        <f aca="false">IF(R38="#",IF(NETWORKDAYS($F$14,$F$14,Holidays!M:M)&lt;1,-1,0),Q38+1)</f>
        <v>46</v>
      </c>
      <c r="T38" s="64"/>
      <c r="U38" s="65" t="n">
        <f aca="false">IF(T38="#",IF(NETWORKDAYS($F$14,$F$14,Holidays!O:O)&lt;1,-1,0),S38+1)</f>
        <v>47</v>
      </c>
      <c r="V38" s="64"/>
      <c r="W38" s="65" t="n">
        <f aca="false">IF(V38="#",IF(NETWORKDAYS($F$14,$F$14,Holidays!Q:Q)&lt;1,-1,0),U38+1)</f>
        <v>48</v>
      </c>
      <c r="X38" s="64"/>
      <c r="Y38" s="65" t="n">
        <f aca="false">IF(X38="#",IF(NETWORKDAYS($F$14,$F$14,Holidays!S:S)&lt;1,-1,0),W38+1)</f>
        <v>49</v>
      </c>
      <c r="Z38" s="64"/>
      <c r="AA38" s="65" t="n">
        <f aca="false">IF(Z38="#",IF(NETWORKDAYS($F$14,$F$14,Holidays!U:U)&lt;1,-1,0),Y38+1)</f>
        <v>50</v>
      </c>
      <c r="AB38" s="64"/>
      <c r="AC38" s="65" t="n">
        <f aca="false">IF(AB38="#",IF(NETWORKDAYS($F$14,$F$14,Holidays!W:W)&lt;1,-1,0),AA38+1)</f>
        <v>51</v>
      </c>
      <c r="AD38" s="64"/>
      <c r="AE38" s="65" t="n">
        <f aca="false">IF(AD38="#",IF(NETWORKDAYS($F$14,$F$14,Holidays!Y:Y)&lt;1,-1,0),AC38+1)</f>
        <v>52</v>
      </c>
      <c r="AF38" s="64"/>
      <c r="AG38" s="65" t="n">
        <f aca="false">IF(AF38="#",IF(NETWORKDAYS($F$14,$F$14,Holidays!AA:AA)&lt;1,-1,0),AE38+1)</f>
        <v>53</v>
      </c>
      <c r="AH38" s="64"/>
      <c r="AI38" s="65" t="n">
        <f aca="false">IF(AH38="#",IF(NETWORKDAYS($F$14,$F$14,Holidays!AC:AC)&lt;1,-1,0),AG38+1)</f>
        <v>54</v>
      </c>
      <c r="AJ38" s="64"/>
      <c r="AK38" s="65" t="n">
        <f aca="false">IF(AJ38="#",IF(NETWORKDAYS($F$14,$F$14,Holidays!AE:AE)&lt;1,-1,0),AI38+1)</f>
        <v>55</v>
      </c>
      <c r="AL38" s="64"/>
      <c r="AM38" s="65" t="n">
        <f aca="false">IF(AL38="#",IF(NETWORKDAYS($F$14,$F$14,Holidays!AG:AG)&lt;1,-1,0),AK38+1)</f>
        <v>56</v>
      </c>
      <c r="AN38" s="64"/>
      <c r="AO38" s="65" t="n">
        <f aca="false">IF(AN38="#",IF(NETWORKDAYS($F$14,$F$14,Holidays!AI:AI)&lt;1,-1,0),AM38+1)</f>
        <v>57</v>
      </c>
      <c r="AP38" s="64"/>
      <c r="AQ38" s="65" t="n">
        <f aca="false">IF(AP38="#",IF(NETWORKDAYS($F$14,$F$14,Holidays!AK:AK)&lt;1,-1,0),AO38+1)</f>
        <v>58</v>
      </c>
      <c r="AR38" s="64"/>
      <c r="AS38" s="65" t="n">
        <f aca="false">IF(AR38="#",IF(NETWORKDAYS($F$14,$F$14,Holidays!AM:AM)&lt;1,-1,0),AQ38+1)</f>
        <v>59</v>
      </c>
      <c r="AT38" s="64"/>
      <c r="AU38" s="65" t="n">
        <f aca="false">IF(AT38="#",IF(NETWORKDAYS($F$14,$F$14,Holidays!AO:AO)&lt;1,-1,0),AS38+1)</f>
        <v>60</v>
      </c>
      <c r="AV38" s="64"/>
      <c r="AW38" s="65" t="n">
        <f aca="false">IF(AV38="#",IF(NETWORKDAYS($F$14,$F$14,Holidays!AQ:AQ)&lt;1,-1,0),AU38+1)</f>
        <v>61</v>
      </c>
      <c r="AX38" s="64"/>
      <c r="AY38" s="65" t="n">
        <f aca="false">IF(AX38="#",IF(NETWORKDAYS($F$14,$F$14,Holidays!AS:AS)&lt;1,-1,0),AW38+1)</f>
        <v>62</v>
      </c>
      <c r="AZ38" s="64"/>
      <c r="BA38" s="65" t="n">
        <f aca="false">IF(AZ38="#",IF(NETWORKDAYS($F$14,$F$14,Holidays!AU:AU)&lt;1,-1,0),AY38+1)</f>
        <v>63</v>
      </c>
      <c r="BB38" s="64"/>
      <c r="BC38" s="65" t="n">
        <f aca="false">IF(BB38="#",IF(NETWORKDAYS($F$14,$F$14,Holidays!AW:AW)&lt;1,-1,0),BA38+1)</f>
        <v>64</v>
      </c>
      <c r="BD38" s="64"/>
      <c r="BE38" s="65" t="n">
        <f aca="false">IF(BD38="#",IF(NETWORKDAYS($F$14,$F$14,Holidays!AY:AY)&lt;1,-1,0),BC38+1)</f>
        <v>65</v>
      </c>
      <c r="BF38" s="64"/>
      <c r="BG38" s="65" t="n">
        <f aca="false">IF(BF38="#",IF(NETWORKDAYS($F$14,$F$14,Holidays!BA:BA)&lt;1,-1,0),BE38+1)</f>
        <v>66</v>
      </c>
      <c r="BH38" s="64"/>
      <c r="BI38" s="65" t="n">
        <f aca="false">IF(BH38="#",IF(NETWORKDAYS($F$14,$F$14,Holidays!BC:BC)&lt;1,-1,0),BG38+1)</f>
        <v>67</v>
      </c>
      <c r="BJ38" s="64"/>
      <c r="BK38" s="65" t="n">
        <f aca="false">IF(BJ38="#",IF(NETWORKDAYS($F$14,$F$14,Holidays!BE:BE)&lt;1,-1,0),BI38+1)</f>
        <v>68</v>
      </c>
      <c r="BL38" s="64"/>
      <c r="BM38" s="65" t="n">
        <f aca="false">IF(BL38="#",IF(NETWORKDAYS($F$14,$F$14,Holidays!BG:BG)&lt;1,-1,0),BK38+1)</f>
        <v>69</v>
      </c>
      <c r="BN38" s="64"/>
      <c r="BO38" s="65" t="n">
        <f aca="false">IF(BN38="#",IF(NETWORKDAYS($F$14,$F$14,Holidays!BI:BI)&lt;1,-1,0),BM38+1)</f>
        <v>70</v>
      </c>
      <c r="BP38" s="64"/>
      <c r="BQ38" s="65" t="n">
        <f aca="false">IF(BP38="#",IF(NETWORKDAYS($F$14,$F$14,Holidays!BK:BK)&lt;1,-1,0),BO38+1)</f>
        <v>71</v>
      </c>
      <c r="BR38" s="13"/>
      <c r="BS38" s="14"/>
    </row>
    <row r="39" customFormat="false" ht="16.5" hidden="false" customHeight="true" outlineLevel="0" collapsed="false">
      <c r="B39" s="40"/>
      <c r="C39" s="66" t="s">
        <v>29</v>
      </c>
      <c r="D39" s="62" t="s">
        <v>27</v>
      </c>
      <c r="E39" s="63" t="n">
        <v>50</v>
      </c>
      <c r="F39" s="64"/>
      <c r="G39" s="65" t="n">
        <f aca="false">IF(F39="#",IF(NETWORKDAYS($F$14,$F$14,Holidays!A:A)&lt;1,-1,0),E39+1)</f>
        <v>51</v>
      </c>
      <c r="H39" s="64"/>
      <c r="I39" s="65" t="n">
        <f aca="false">IF(H39="#",IF(NETWORKDAYS($F$14,$F$14,Holidays!C:C)&lt;1,-1,0),G39+1)</f>
        <v>52</v>
      </c>
      <c r="J39" s="64"/>
      <c r="K39" s="65" t="n">
        <f aca="false">IF(J39="#",IF(NETWORKDAYS($F$14,$F$14,Holidays!E:E)&lt;1,-1,0),I39+1)</f>
        <v>53</v>
      </c>
      <c r="L39" s="64"/>
      <c r="M39" s="65" t="n">
        <f aca="false">IF(L39="#",IF(NETWORKDAYS($F$14,$F$14,Holidays!G:G)&lt;1,-1,0),K39+1)</f>
        <v>54</v>
      </c>
      <c r="N39" s="64"/>
      <c r="O39" s="65" t="n">
        <f aca="false">IF(N39="#",IF(NETWORKDAYS($F$14,$F$14,Holidays!I:I)&lt;1,-1,0),M39+1)</f>
        <v>55</v>
      </c>
      <c r="P39" s="64"/>
      <c r="Q39" s="65" t="n">
        <f aca="false">IF(P39="#",IF(NETWORKDAYS($F$14,$F$14,Holidays!K:K)&lt;1,-1,0),O39+1)</f>
        <v>56</v>
      </c>
      <c r="R39" s="64"/>
      <c r="S39" s="65" t="n">
        <f aca="false">IF(R39="#",IF(NETWORKDAYS($F$14,$F$14,Holidays!M:M)&lt;1,-1,0),Q39+1)</f>
        <v>57</v>
      </c>
      <c r="T39" s="64"/>
      <c r="U39" s="65" t="n">
        <f aca="false">IF(T39="#",IF(NETWORKDAYS($F$14,$F$14,Holidays!O:O)&lt;1,-1,0),S39+1)</f>
        <v>58</v>
      </c>
      <c r="V39" s="64"/>
      <c r="W39" s="65" t="n">
        <f aca="false">IF(V39="#",IF(NETWORKDAYS($F$14,$F$14,Holidays!Q:Q)&lt;1,-1,0),U39+1)</f>
        <v>59</v>
      </c>
      <c r="X39" s="64"/>
      <c r="Y39" s="65" t="n">
        <f aca="false">IF(X39="#",IF(NETWORKDAYS($F$14,$F$14,Holidays!S:S)&lt;1,-1,0),W39+1)</f>
        <v>60</v>
      </c>
      <c r="Z39" s="64"/>
      <c r="AA39" s="65" t="n">
        <f aca="false">IF(Z39="#",IF(NETWORKDAYS($F$14,$F$14,Holidays!U:U)&lt;1,-1,0),Y39+1)</f>
        <v>61</v>
      </c>
      <c r="AB39" s="64"/>
      <c r="AC39" s="65" t="n">
        <f aca="false">IF(AB39="#",IF(NETWORKDAYS($F$14,$F$14,Holidays!W:W)&lt;1,-1,0),AA39+1)</f>
        <v>62</v>
      </c>
      <c r="AD39" s="64"/>
      <c r="AE39" s="65" t="n">
        <f aca="false">IF(AD39="#",IF(NETWORKDAYS($F$14,$F$14,Holidays!Y:Y)&lt;1,-1,0),AC39+1)</f>
        <v>63</v>
      </c>
      <c r="AF39" s="64"/>
      <c r="AG39" s="65" t="n">
        <f aca="false">IF(AF39="#",IF(NETWORKDAYS($F$14,$F$14,Holidays!AA:AA)&lt;1,-1,0),AE39+1)</f>
        <v>64</v>
      </c>
      <c r="AH39" s="64"/>
      <c r="AI39" s="65" t="n">
        <f aca="false">IF(AH39="#",IF(NETWORKDAYS($F$14,$F$14,Holidays!AC:AC)&lt;1,-1,0),AG39+1)</f>
        <v>65</v>
      </c>
      <c r="AJ39" s="64"/>
      <c r="AK39" s="65" t="n">
        <f aca="false">IF(AJ39="#",IF(NETWORKDAYS($F$14,$F$14,Holidays!AE:AE)&lt;1,-1,0),AI39+1)</f>
        <v>66</v>
      </c>
      <c r="AL39" s="64"/>
      <c r="AM39" s="65" t="n">
        <f aca="false">IF(AL39="#",IF(NETWORKDAYS($F$14,$F$14,Holidays!AG:AG)&lt;1,-1,0),AK39+1)</f>
        <v>67</v>
      </c>
      <c r="AN39" s="64"/>
      <c r="AO39" s="65" t="n">
        <f aca="false">IF(AN39="#",IF(NETWORKDAYS($F$14,$F$14,Holidays!AI:AI)&lt;1,-1,0),AM39+1)</f>
        <v>68</v>
      </c>
      <c r="AP39" s="64"/>
      <c r="AQ39" s="65" t="n">
        <f aca="false">IF(AP39="#",IF(NETWORKDAYS($F$14,$F$14,Holidays!AK:AK)&lt;1,-1,0),AO39+1)</f>
        <v>69</v>
      </c>
      <c r="AR39" s="64"/>
      <c r="AS39" s="65" t="n">
        <f aca="false">IF(AR39="#",IF(NETWORKDAYS($F$14,$F$14,Holidays!AM:AM)&lt;1,-1,0),AQ39+1)</f>
        <v>70</v>
      </c>
      <c r="AT39" s="64"/>
      <c r="AU39" s="65" t="n">
        <f aca="false">IF(AT39="#",IF(NETWORKDAYS($F$14,$F$14,Holidays!AO:AO)&lt;1,-1,0),AS39+1)</f>
        <v>71</v>
      </c>
      <c r="AV39" s="64"/>
      <c r="AW39" s="65" t="n">
        <f aca="false">IF(AV39="#",IF(NETWORKDAYS($F$14,$F$14,Holidays!AQ:AQ)&lt;1,-1,0),AU39+1)</f>
        <v>72</v>
      </c>
      <c r="AX39" s="64"/>
      <c r="AY39" s="65" t="n">
        <f aca="false">IF(AX39="#",IF(NETWORKDAYS($F$14,$F$14,Holidays!AS:AS)&lt;1,-1,0),AW39+1)</f>
        <v>73</v>
      </c>
      <c r="AZ39" s="64"/>
      <c r="BA39" s="65" t="n">
        <f aca="false">IF(AZ39="#",IF(NETWORKDAYS($F$14,$F$14,Holidays!AU:AU)&lt;1,-1,0),AY39+1)</f>
        <v>74</v>
      </c>
      <c r="BB39" s="64"/>
      <c r="BC39" s="65" t="n">
        <f aca="false">IF(BB39="#",IF(NETWORKDAYS($F$14,$F$14,Holidays!AW:AW)&lt;1,-1,0),BA39+1)</f>
        <v>75</v>
      </c>
      <c r="BD39" s="64"/>
      <c r="BE39" s="65" t="n">
        <f aca="false">IF(BD39="#",IF(NETWORKDAYS($F$14,$F$14,Holidays!AY:AY)&lt;1,-1,0),BC39+1)</f>
        <v>76</v>
      </c>
      <c r="BF39" s="64"/>
      <c r="BG39" s="65" t="n">
        <f aca="false">IF(BF39="#",IF(NETWORKDAYS($F$14,$F$14,Holidays!BA:BA)&lt;1,-1,0),BE39+1)</f>
        <v>77</v>
      </c>
      <c r="BH39" s="64"/>
      <c r="BI39" s="65" t="n">
        <f aca="false">IF(BH39="#",IF(NETWORKDAYS($F$14,$F$14,Holidays!BC:BC)&lt;1,-1,0),BG39+1)</f>
        <v>78</v>
      </c>
      <c r="BJ39" s="64"/>
      <c r="BK39" s="65" t="n">
        <f aca="false">IF(BJ39="#",IF(NETWORKDAYS($F$14,$F$14,Holidays!BE:BE)&lt;1,-1,0),BI39+1)</f>
        <v>79</v>
      </c>
      <c r="BL39" s="64"/>
      <c r="BM39" s="65" t="n">
        <f aca="false">IF(BL39="#",IF(NETWORKDAYS($F$14,$F$14,Holidays!BG:BG)&lt;1,-1,0),BK39+1)</f>
        <v>80</v>
      </c>
      <c r="BN39" s="64"/>
      <c r="BO39" s="65" t="n">
        <f aca="false">IF(BN39="#",IF(NETWORKDAYS($F$14,$F$14,Holidays!BI:BI)&lt;1,-1,0),BM39+1)</f>
        <v>81</v>
      </c>
      <c r="BP39" s="64"/>
      <c r="BQ39" s="65" t="n">
        <f aca="false">IF(BP39="#",IF(NETWORKDAYS($F$14,$F$14,Holidays!BK:BK)&lt;1,-1,0),BO39+1)</f>
        <v>82</v>
      </c>
      <c r="BR39" s="13"/>
      <c r="BS39" s="14"/>
    </row>
    <row r="40" customFormat="false" ht="16.5" hidden="false" customHeight="true" outlineLevel="0" collapsed="false">
      <c r="B40" s="40"/>
      <c r="C40" s="66" t="s">
        <v>28</v>
      </c>
      <c r="D40" s="62" t="s">
        <v>27</v>
      </c>
      <c r="E40" s="63" t="n">
        <v>-100</v>
      </c>
      <c r="F40" s="64"/>
      <c r="G40" s="65" t="n">
        <f aca="false">IF(F40="#",IF(NETWORKDAYS($F$14,$F$14,Holidays!A:A)&lt;1,-1,0),E40+1)</f>
        <v>-99</v>
      </c>
      <c r="H40" s="64"/>
      <c r="I40" s="65" t="n">
        <f aca="false">IF(H40="#",IF(NETWORKDAYS($F$14,$F$14,Holidays!C:C)&lt;1,-1,0),G40+1)</f>
        <v>-98</v>
      </c>
      <c r="J40" s="64"/>
      <c r="K40" s="65" t="n">
        <f aca="false">IF(J40="#",IF(NETWORKDAYS($F$14,$F$14,Holidays!E:E)&lt;1,-1,0),I40+1)</f>
        <v>-97</v>
      </c>
      <c r="L40" s="64"/>
      <c r="M40" s="65" t="n">
        <f aca="false">IF(L40="#",IF(NETWORKDAYS($F$14,$F$14,Holidays!G:G)&lt;1,-1,0),K40+1)</f>
        <v>-96</v>
      </c>
      <c r="N40" s="64"/>
      <c r="O40" s="65" t="n">
        <f aca="false">IF(N40="#",IF(NETWORKDAYS($F$14,$F$14,Holidays!I:I)&lt;1,-1,0),M40+1)</f>
        <v>-95</v>
      </c>
      <c r="P40" s="64"/>
      <c r="Q40" s="65" t="n">
        <f aca="false">IF(P40="#",IF(NETWORKDAYS($F$14,$F$14,Holidays!K:K)&lt;1,-1,0),O40+1)</f>
        <v>-94</v>
      </c>
      <c r="R40" s="64"/>
      <c r="S40" s="65" t="n">
        <f aca="false">IF(R40="#",IF(NETWORKDAYS($F$14,$F$14,Holidays!M:M)&lt;1,-1,0),Q40+1)</f>
        <v>-93</v>
      </c>
      <c r="T40" s="64"/>
      <c r="U40" s="65" t="n">
        <f aca="false">IF(T40="#",IF(NETWORKDAYS($F$14,$F$14,Holidays!O:O)&lt;1,-1,0),S40+1)</f>
        <v>-92</v>
      </c>
      <c r="V40" s="64"/>
      <c r="W40" s="65" t="n">
        <f aca="false">IF(V40="#",IF(NETWORKDAYS($F$14,$F$14,Holidays!Q:Q)&lt;1,-1,0),U40+1)</f>
        <v>-91</v>
      </c>
      <c r="X40" s="64"/>
      <c r="Y40" s="65" t="n">
        <f aca="false">IF(X40="#",IF(NETWORKDAYS($F$14,$F$14,Holidays!S:S)&lt;1,-1,0),W40+1)</f>
        <v>-90</v>
      </c>
      <c r="Z40" s="64"/>
      <c r="AA40" s="65" t="n">
        <f aca="false">IF(Z40="#",IF(NETWORKDAYS($F$14,$F$14,Holidays!U:U)&lt;1,-1,0),Y40+1)</f>
        <v>-89</v>
      </c>
      <c r="AB40" s="64"/>
      <c r="AC40" s="65" t="n">
        <f aca="false">IF(AB40="#",IF(NETWORKDAYS($F$14,$F$14,Holidays!W:W)&lt;1,-1,0),AA40+1)</f>
        <v>-88</v>
      </c>
      <c r="AD40" s="64"/>
      <c r="AE40" s="65" t="n">
        <f aca="false">IF(AD40="#",IF(NETWORKDAYS($F$14,$F$14,Holidays!Y:Y)&lt;1,-1,0),AC40+1)</f>
        <v>-87</v>
      </c>
      <c r="AF40" s="64"/>
      <c r="AG40" s="65" t="n">
        <f aca="false">IF(AF40="#",IF(NETWORKDAYS($F$14,$F$14,Holidays!AA:AA)&lt;1,-1,0),AE40+1)</f>
        <v>-86</v>
      </c>
      <c r="AH40" s="64"/>
      <c r="AI40" s="65" t="n">
        <f aca="false">IF(AH40="#",IF(NETWORKDAYS($F$14,$F$14,Holidays!AC:AC)&lt;1,-1,0),AG40+1)</f>
        <v>-85</v>
      </c>
      <c r="AJ40" s="64"/>
      <c r="AK40" s="65" t="n">
        <f aca="false">IF(AJ40="#",IF(NETWORKDAYS($F$14,$F$14,Holidays!AE:AE)&lt;1,-1,0),AI40+1)</f>
        <v>-84</v>
      </c>
      <c r="AL40" s="64"/>
      <c r="AM40" s="65" t="n">
        <f aca="false">IF(AL40="#",IF(NETWORKDAYS($F$14,$F$14,Holidays!AG:AG)&lt;1,-1,0),AK40+1)</f>
        <v>-83</v>
      </c>
      <c r="AN40" s="64"/>
      <c r="AO40" s="65" t="n">
        <f aca="false">IF(AN40="#",IF(NETWORKDAYS($F$14,$F$14,Holidays!AI:AI)&lt;1,-1,0),AM40+1)</f>
        <v>-82</v>
      </c>
      <c r="AP40" s="64"/>
      <c r="AQ40" s="65" t="n">
        <f aca="false">IF(AP40="#",IF(NETWORKDAYS($F$14,$F$14,Holidays!AK:AK)&lt;1,-1,0),AO40+1)</f>
        <v>-81</v>
      </c>
      <c r="AR40" s="64"/>
      <c r="AS40" s="65" t="n">
        <f aca="false">IF(AR40="#",IF(NETWORKDAYS($F$14,$F$14,Holidays!AM:AM)&lt;1,-1,0),AQ40+1)</f>
        <v>-80</v>
      </c>
      <c r="AT40" s="64"/>
      <c r="AU40" s="65" t="n">
        <f aca="false">IF(AT40="#",IF(NETWORKDAYS($F$14,$F$14,Holidays!AO:AO)&lt;1,-1,0),AS40+1)</f>
        <v>-79</v>
      </c>
      <c r="AV40" s="64"/>
      <c r="AW40" s="65" t="n">
        <f aca="false">IF(AV40="#",IF(NETWORKDAYS($F$14,$F$14,Holidays!AQ:AQ)&lt;1,-1,0),AU40+1)</f>
        <v>-78</v>
      </c>
      <c r="AX40" s="64"/>
      <c r="AY40" s="65" t="n">
        <f aca="false">IF(AX40="#",IF(NETWORKDAYS($F$14,$F$14,Holidays!AS:AS)&lt;1,-1,0),AW40+1)</f>
        <v>-77</v>
      </c>
      <c r="AZ40" s="64"/>
      <c r="BA40" s="65" t="n">
        <f aca="false">IF(AZ40="#",IF(NETWORKDAYS($F$14,$F$14,Holidays!AU:AU)&lt;1,-1,0),AY40+1)</f>
        <v>-76</v>
      </c>
      <c r="BB40" s="64"/>
      <c r="BC40" s="65" t="n">
        <f aca="false">IF(BB40="#",IF(NETWORKDAYS($F$14,$F$14,Holidays!AW:AW)&lt;1,-1,0),BA40+1)</f>
        <v>-75</v>
      </c>
      <c r="BD40" s="64"/>
      <c r="BE40" s="65" t="n">
        <f aca="false">IF(BD40="#",IF(NETWORKDAYS($F$14,$F$14,Holidays!AY:AY)&lt;1,-1,0),BC40+1)</f>
        <v>-74</v>
      </c>
      <c r="BF40" s="64"/>
      <c r="BG40" s="65" t="n">
        <f aca="false">IF(BF40="#",IF(NETWORKDAYS($F$14,$F$14,Holidays!BA:BA)&lt;1,-1,0),BE40+1)</f>
        <v>-73</v>
      </c>
      <c r="BH40" s="64"/>
      <c r="BI40" s="65" t="n">
        <f aca="false">IF(BH40="#",IF(NETWORKDAYS($F$14,$F$14,Holidays!BC:BC)&lt;1,-1,0),BG40+1)</f>
        <v>-72</v>
      </c>
      <c r="BJ40" s="64"/>
      <c r="BK40" s="65" t="n">
        <f aca="false">IF(BJ40="#",IF(NETWORKDAYS($F$14,$F$14,Holidays!BE:BE)&lt;1,-1,0),BI40+1)</f>
        <v>-71</v>
      </c>
      <c r="BL40" s="64"/>
      <c r="BM40" s="65" t="n">
        <f aca="false">IF(BL40="#",IF(NETWORKDAYS($F$14,$F$14,Holidays!BG:BG)&lt;1,-1,0),BK40+1)</f>
        <v>-70</v>
      </c>
      <c r="BN40" s="64"/>
      <c r="BO40" s="65" t="n">
        <f aca="false">IF(BN40="#",IF(NETWORKDAYS($F$14,$F$14,Holidays!BI:BI)&lt;1,-1,0),BM40+1)</f>
        <v>-69</v>
      </c>
      <c r="BP40" s="64"/>
      <c r="BQ40" s="65" t="n">
        <f aca="false">IF(BP40="#",IF(NETWORKDAYS($F$14,$F$14,Holidays!BK:BK)&lt;1,-1,0),BO40+1)</f>
        <v>-68</v>
      </c>
      <c r="BR40" s="13"/>
      <c r="BS40" s="14"/>
    </row>
    <row r="41" customFormat="false" ht="16.5" hidden="false" customHeight="true" outlineLevel="0" collapsed="false">
      <c r="B41" s="40"/>
      <c r="C41" s="66" t="s">
        <v>28</v>
      </c>
      <c r="D41" s="62" t="s">
        <v>27</v>
      </c>
      <c r="E41" s="63" t="n">
        <v>20</v>
      </c>
      <c r="F41" s="64"/>
      <c r="G41" s="65" t="n">
        <f aca="false">IF(F41="#",IF(NETWORKDAYS($F$14,$F$14,Holidays!A:A)&lt;1,-1,0),E41+1)</f>
        <v>21</v>
      </c>
      <c r="H41" s="64"/>
      <c r="I41" s="65" t="n">
        <f aca="false">IF(H41="#",IF(NETWORKDAYS($F$14,$F$14,Holidays!C:C)&lt;1,-1,0),G41+1)</f>
        <v>22</v>
      </c>
      <c r="J41" s="64"/>
      <c r="K41" s="65" t="n">
        <f aca="false">IF(J41="#",IF(NETWORKDAYS($F$14,$F$14,Holidays!E:E)&lt;1,-1,0),I41+1)</f>
        <v>23</v>
      </c>
      <c r="L41" s="64"/>
      <c r="M41" s="65" t="n">
        <f aca="false">IF(L41="#",IF(NETWORKDAYS($F$14,$F$14,Holidays!G:G)&lt;1,-1,0),K41+1)</f>
        <v>24</v>
      </c>
      <c r="N41" s="64"/>
      <c r="O41" s="65" t="n">
        <f aca="false">IF(N41="#",IF(NETWORKDAYS($F$14,$F$14,Holidays!I:I)&lt;1,-1,0),M41+1)</f>
        <v>25</v>
      </c>
      <c r="P41" s="64"/>
      <c r="Q41" s="65" t="n">
        <f aca="false">IF(P41="#",IF(NETWORKDAYS($F$14,$F$14,Holidays!K:K)&lt;1,-1,0),O41+1)</f>
        <v>26</v>
      </c>
      <c r="R41" s="64"/>
      <c r="S41" s="65" t="n">
        <f aca="false">IF(R41="#",IF(NETWORKDAYS($F$14,$F$14,Holidays!M:M)&lt;1,-1,0),Q41+1)</f>
        <v>27</v>
      </c>
      <c r="T41" s="64"/>
      <c r="U41" s="65" t="n">
        <f aca="false">IF(T41="#",IF(NETWORKDAYS($F$14,$F$14,Holidays!O:O)&lt;1,-1,0),S41+1)</f>
        <v>28</v>
      </c>
      <c r="V41" s="64"/>
      <c r="W41" s="65" t="n">
        <f aca="false">IF(V41="#",IF(NETWORKDAYS($F$14,$F$14,Holidays!Q:Q)&lt;1,-1,0),U41+1)</f>
        <v>29</v>
      </c>
      <c r="X41" s="64"/>
      <c r="Y41" s="65" t="n">
        <f aca="false">IF(X41="#",IF(NETWORKDAYS($F$14,$F$14,Holidays!S:S)&lt;1,-1,0),W41+1)</f>
        <v>30</v>
      </c>
      <c r="Z41" s="64"/>
      <c r="AA41" s="65" t="n">
        <f aca="false">IF(Z41="#",IF(NETWORKDAYS($F$14,$F$14,Holidays!U:U)&lt;1,-1,0),Y41+1)</f>
        <v>31</v>
      </c>
      <c r="AB41" s="64"/>
      <c r="AC41" s="65" t="n">
        <f aca="false">IF(AB41="#",IF(NETWORKDAYS($F$14,$F$14,Holidays!W:W)&lt;1,-1,0),AA41+1)</f>
        <v>32</v>
      </c>
      <c r="AD41" s="64"/>
      <c r="AE41" s="65" t="n">
        <f aca="false">IF(AD41="#",IF(NETWORKDAYS($F$14,$F$14,Holidays!Y:Y)&lt;1,-1,0),AC41+1)</f>
        <v>33</v>
      </c>
      <c r="AF41" s="64"/>
      <c r="AG41" s="65" t="n">
        <f aca="false">IF(AF41="#",IF(NETWORKDAYS($F$14,$F$14,Holidays!AA:AA)&lt;1,-1,0),AE41+1)</f>
        <v>34</v>
      </c>
      <c r="AH41" s="64"/>
      <c r="AI41" s="65" t="n">
        <f aca="false">IF(AH41="#",IF(NETWORKDAYS($F$14,$F$14,Holidays!AC:AC)&lt;1,-1,0),AG41+1)</f>
        <v>35</v>
      </c>
      <c r="AJ41" s="64"/>
      <c r="AK41" s="65" t="n">
        <f aca="false">IF(AJ41="#",IF(NETWORKDAYS($F$14,$F$14,Holidays!AE:AE)&lt;1,-1,0),AI41+1)</f>
        <v>36</v>
      </c>
      <c r="AL41" s="64"/>
      <c r="AM41" s="65" t="n">
        <f aca="false">IF(AL41="#",IF(NETWORKDAYS($F$14,$F$14,Holidays!AG:AG)&lt;1,-1,0),AK41+1)</f>
        <v>37</v>
      </c>
      <c r="AN41" s="64"/>
      <c r="AO41" s="65" t="n">
        <f aca="false">IF(AN41="#",IF(NETWORKDAYS($F$14,$F$14,Holidays!AI:AI)&lt;1,-1,0),AM41+1)</f>
        <v>38</v>
      </c>
      <c r="AP41" s="64"/>
      <c r="AQ41" s="65" t="n">
        <f aca="false">IF(AP41="#",IF(NETWORKDAYS($F$14,$F$14,Holidays!AK:AK)&lt;1,-1,0),AO41+1)</f>
        <v>39</v>
      </c>
      <c r="AR41" s="64"/>
      <c r="AS41" s="65" t="n">
        <f aca="false">IF(AR41="#",IF(NETWORKDAYS($F$14,$F$14,Holidays!AM:AM)&lt;1,-1,0),AQ41+1)</f>
        <v>40</v>
      </c>
      <c r="AT41" s="64"/>
      <c r="AU41" s="65" t="n">
        <f aca="false">IF(AT41="#",IF(NETWORKDAYS($F$14,$F$14,Holidays!AO:AO)&lt;1,-1,0),AS41+1)</f>
        <v>41</v>
      </c>
      <c r="AV41" s="64"/>
      <c r="AW41" s="65" t="n">
        <f aca="false">IF(AV41="#",IF(NETWORKDAYS($F$14,$F$14,Holidays!AQ:AQ)&lt;1,-1,0),AU41+1)</f>
        <v>42</v>
      </c>
      <c r="AX41" s="64"/>
      <c r="AY41" s="65" t="n">
        <f aca="false">IF(AX41="#",IF(NETWORKDAYS($F$14,$F$14,Holidays!AS:AS)&lt;1,-1,0),AW41+1)</f>
        <v>43</v>
      </c>
      <c r="AZ41" s="64"/>
      <c r="BA41" s="65" t="n">
        <f aca="false">IF(AZ41="#",IF(NETWORKDAYS($F$14,$F$14,Holidays!AU:AU)&lt;1,-1,0),AY41+1)</f>
        <v>44</v>
      </c>
      <c r="BB41" s="64"/>
      <c r="BC41" s="65" t="n">
        <f aca="false">IF(BB41="#",IF(NETWORKDAYS($F$14,$F$14,Holidays!AW:AW)&lt;1,-1,0),BA41+1)</f>
        <v>45</v>
      </c>
      <c r="BD41" s="64"/>
      <c r="BE41" s="65" t="n">
        <f aca="false">IF(BD41="#",IF(NETWORKDAYS($F$14,$F$14,Holidays!AY:AY)&lt;1,-1,0),BC41+1)</f>
        <v>46</v>
      </c>
      <c r="BF41" s="64"/>
      <c r="BG41" s="65" t="n">
        <f aca="false">IF(BF41="#",IF(NETWORKDAYS($F$14,$F$14,Holidays!BA:BA)&lt;1,-1,0),BE41+1)</f>
        <v>47</v>
      </c>
      <c r="BH41" s="64"/>
      <c r="BI41" s="65" t="n">
        <f aca="false">IF(BH41="#",IF(NETWORKDAYS($F$14,$F$14,Holidays!BC:BC)&lt;1,-1,0),BG41+1)</f>
        <v>48</v>
      </c>
      <c r="BJ41" s="64"/>
      <c r="BK41" s="65" t="n">
        <f aca="false">IF(BJ41="#",IF(NETWORKDAYS($F$14,$F$14,Holidays!BE:BE)&lt;1,-1,0),BI41+1)</f>
        <v>49</v>
      </c>
      <c r="BL41" s="64"/>
      <c r="BM41" s="65" t="n">
        <f aca="false">IF(BL41="#",IF(NETWORKDAYS($F$14,$F$14,Holidays!BG:BG)&lt;1,-1,0),BK41+1)</f>
        <v>50</v>
      </c>
      <c r="BN41" s="64"/>
      <c r="BO41" s="65" t="n">
        <f aca="false">IF(BN41="#",IF(NETWORKDAYS($F$14,$F$14,Holidays!BI:BI)&lt;1,-1,0),BM41+1)</f>
        <v>51</v>
      </c>
      <c r="BP41" s="64"/>
      <c r="BQ41" s="65" t="n">
        <f aca="false">IF(BP41="#",IF(NETWORKDAYS($F$14,$F$14,Holidays!BK:BK)&lt;1,-1,0),BO41+1)</f>
        <v>52</v>
      </c>
      <c r="BR41" s="13"/>
      <c r="BS41" s="14"/>
    </row>
    <row r="42" customFormat="false" ht="16.5" hidden="false" customHeight="true" outlineLevel="0" collapsed="false">
      <c r="B42" s="40"/>
      <c r="C42" s="66" t="s">
        <v>28</v>
      </c>
      <c r="D42" s="62" t="s">
        <v>27</v>
      </c>
      <c r="E42" s="63" t="n">
        <v>-100</v>
      </c>
      <c r="F42" s="64"/>
      <c r="G42" s="65" t="n">
        <f aca="false">IF(F42="#",IF(NETWORKDAYS($F$14,$F$14,Holidays!A:A)&lt;1,-1,0),E42+1)</f>
        <v>-99</v>
      </c>
      <c r="H42" s="64"/>
      <c r="I42" s="65" t="n">
        <f aca="false">IF(H42="#",IF(NETWORKDAYS($F$14,$F$14,Holidays!C:C)&lt;1,-1,0),G42+1)</f>
        <v>-98</v>
      </c>
      <c r="J42" s="64"/>
      <c r="K42" s="65" t="n">
        <f aca="false">IF(J42="#",IF(NETWORKDAYS($F$14,$F$14,Holidays!E:E)&lt;1,-1,0),I42+1)</f>
        <v>-97</v>
      </c>
      <c r="L42" s="64"/>
      <c r="M42" s="65" t="n">
        <f aca="false">IF(L42="#",IF(NETWORKDAYS($F$14,$F$14,Holidays!G:G)&lt;1,-1,0),K42+1)</f>
        <v>-96</v>
      </c>
      <c r="N42" s="64"/>
      <c r="O42" s="65" t="n">
        <f aca="false">IF(N42="#",IF(NETWORKDAYS($F$14,$F$14,Holidays!I:I)&lt;1,-1,0),M42+1)</f>
        <v>-95</v>
      </c>
      <c r="P42" s="64"/>
      <c r="Q42" s="65" t="n">
        <f aca="false">IF(P42="#",IF(NETWORKDAYS($F$14,$F$14,Holidays!K:K)&lt;1,-1,0),O42+1)</f>
        <v>-94</v>
      </c>
      <c r="R42" s="64"/>
      <c r="S42" s="65" t="n">
        <f aca="false">IF(R42="#",IF(NETWORKDAYS($F$14,$F$14,Holidays!M:M)&lt;1,-1,0),Q42+1)</f>
        <v>-93</v>
      </c>
      <c r="T42" s="64"/>
      <c r="U42" s="65" t="n">
        <f aca="false">IF(T42="#",IF(NETWORKDAYS($F$14,$F$14,Holidays!O:O)&lt;1,-1,0),S42+1)</f>
        <v>-92</v>
      </c>
      <c r="V42" s="64"/>
      <c r="W42" s="65" t="n">
        <f aca="false">IF(V42="#",IF(NETWORKDAYS($F$14,$F$14,Holidays!Q:Q)&lt;1,-1,0),U42+1)</f>
        <v>-91</v>
      </c>
      <c r="X42" s="64"/>
      <c r="Y42" s="65" t="n">
        <f aca="false">IF(X42="#",IF(NETWORKDAYS($F$14,$F$14,Holidays!S:S)&lt;1,-1,0),W42+1)</f>
        <v>-90</v>
      </c>
      <c r="Z42" s="64"/>
      <c r="AA42" s="65" t="n">
        <f aca="false">IF(Z42="#",IF(NETWORKDAYS($F$14,$F$14,Holidays!U:U)&lt;1,-1,0),Y42+1)</f>
        <v>-89</v>
      </c>
      <c r="AB42" s="64"/>
      <c r="AC42" s="65" t="n">
        <f aca="false">IF(AB42="#",IF(NETWORKDAYS($F$14,$F$14,Holidays!W:W)&lt;1,-1,0),AA42+1)</f>
        <v>-88</v>
      </c>
      <c r="AD42" s="64"/>
      <c r="AE42" s="65" t="n">
        <f aca="false">IF(AD42="#",IF(NETWORKDAYS($F$14,$F$14,Holidays!Y:Y)&lt;1,-1,0),AC42+1)</f>
        <v>-87</v>
      </c>
      <c r="AF42" s="64"/>
      <c r="AG42" s="65" t="n">
        <f aca="false">IF(AF42="#",IF(NETWORKDAYS($F$14,$F$14,Holidays!AA:AA)&lt;1,-1,0),AE42+1)</f>
        <v>-86</v>
      </c>
      <c r="AH42" s="64"/>
      <c r="AI42" s="65" t="n">
        <f aca="false">IF(AH42="#",IF(NETWORKDAYS($F$14,$F$14,Holidays!AC:AC)&lt;1,-1,0),AG42+1)</f>
        <v>-85</v>
      </c>
      <c r="AJ42" s="64"/>
      <c r="AK42" s="65" t="n">
        <f aca="false">IF(AJ42="#",IF(NETWORKDAYS($F$14,$F$14,Holidays!AE:AE)&lt;1,-1,0),AI42+1)</f>
        <v>-84</v>
      </c>
      <c r="AL42" s="64"/>
      <c r="AM42" s="65" t="n">
        <f aca="false">IF(AL42="#",IF(NETWORKDAYS($F$14,$F$14,Holidays!AG:AG)&lt;1,-1,0),AK42+1)</f>
        <v>-83</v>
      </c>
      <c r="AN42" s="64"/>
      <c r="AO42" s="65" t="n">
        <f aca="false">IF(AN42="#",IF(NETWORKDAYS($F$14,$F$14,Holidays!AI:AI)&lt;1,-1,0),AM42+1)</f>
        <v>-82</v>
      </c>
      <c r="AP42" s="64"/>
      <c r="AQ42" s="65" t="n">
        <f aca="false">IF(AP42="#",IF(NETWORKDAYS($F$14,$F$14,Holidays!AK:AK)&lt;1,-1,0),AO42+1)</f>
        <v>-81</v>
      </c>
      <c r="AR42" s="64"/>
      <c r="AS42" s="65" t="n">
        <f aca="false">IF(AR42="#",IF(NETWORKDAYS($F$14,$F$14,Holidays!AM:AM)&lt;1,-1,0),AQ42+1)</f>
        <v>-80</v>
      </c>
      <c r="AT42" s="64"/>
      <c r="AU42" s="65" t="n">
        <f aca="false">IF(AT42="#",IF(NETWORKDAYS($F$14,$F$14,Holidays!AO:AO)&lt;1,-1,0),AS42+1)</f>
        <v>-79</v>
      </c>
      <c r="AV42" s="64"/>
      <c r="AW42" s="65" t="n">
        <f aca="false">IF(AV42="#",IF(NETWORKDAYS($F$14,$F$14,Holidays!AQ:AQ)&lt;1,-1,0),AU42+1)</f>
        <v>-78</v>
      </c>
      <c r="AX42" s="64"/>
      <c r="AY42" s="65" t="n">
        <f aca="false">IF(AX42="#",IF(NETWORKDAYS($F$14,$F$14,Holidays!AS:AS)&lt;1,-1,0),AW42+1)</f>
        <v>-77</v>
      </c>
      <c r="AZ42" s="64"/>
      <c r="BA42" s="65" t="n">
        <f aca="false">IF(AZ42="#",IF(NETWORKDAYS($F$14,$F$14,Holidays!AU:AU)&lt;1,-1,0),AY42+1)</f>
        <v>-76</v>
      </c>
      <c r="BB42" s="64"/>
      <c r="BC42" s="65" t="n">
        <f aca="false">IF(BB42="#",IF(NETWORKDAYS($F$14,$F$14,Holidays!AW:AW)&lt;1,-1,0),BA42+1)</f>
        <v>-75</v>
      </c>
      <c r="BD42" s="64"/>
      <c r="BE42" s="65" t="n">
        <f aca="false">IF(BD42="#",IF(NETWORKDAYS($F$14,$F$14,Holidays!AY:AY)&lt;1,-1,0),BC42+1)</f>
        <v>-74</v>
      </c>
      <c r="BF42" s="64"/>
      <c r="BG42" s="65" t="n">
        <f aca="false">IF(BF42="#",IF(NETWORKDAYS($F$14,$F$14,Holidays!BA:BA)&lt;1,-1,0),BE42+1)</f>
        <v>-73</v>
      </c>
      <c r="BH42" s="64"/>
      <c r="BI42" s="65" t="n">
        <f aca="false">IF(BH42="#",IF(NETWORKDAYS($F$14,$F$14,Holidays!BC:BC)&lt;1,-1,0),BG42+1)</f>
        <v>-72</v>
      </c>
      <c r="BJ42" s="64"/>
      <c r="BK42" s="65" t="n">
        <f aca="false">IF(BJ42="#",IF(NETWORKDAYS($F$14,$F$14,Holidays!BE:BE)&lt;1,-1,0),BI42+1)</f>
        <v>-71</v>
      </c>
      <c r="BL42" s="64"/>
      <c r="BM42" s="65" t="n">
        <f aca="false">IF(BL42="#",IF(NETWORKDAYS($F$14,$F$14,Holidays!BG:BG)&lt;1,-1,0),BK42+1)</f>
        <v>-70</v>
      </c>
      <c r="BN42" s="64"/>
      <c r="BO42" s="65" t="n">
        <f aca="false">IF(BN42="#",IF(NETWORKDAYS($F$14,$F$14,Holidays!BI:BI)&lt;1,-1,0),BM42+1)</f>
        <v>-69</v>
      </c>
      <c r="BP42" s="64"/>
      <c r="BQ42" s="65" t="n">
        <f aca="false">IF(BP42="#",IF(NETWORKDAYS($F$14,$F$14,Holidays!BK:BK)&lt;1,-1,0),BO42+1)</f>
        <v>-68</v>
      </c>
      <c r="BR42" s="13"/>
      <c r="BS42" s="14"/>
    </row>
    <row r="43" customFormat="false" ht="16.5" hidden="false" customHeight="true" outlineLevel="0" collapsed="false">
      <c r="B43" s="40"/>
      <c r="C43" s="66" t="s">
        <v>28</v>
      </c>
      <c r="D43" s="62" t="s">
        <v>27</v>
      </c>
      <c r="E43" s="63" t="n">
        <v>33</v>
      </c>
      <c r="F43" s="64"/>
      <c r="G43" s="65" t="n">
        <f aca="false">IF(F43="#",IF(NETWORKDAYS($F$14,$F$14,Holidays!A:A)&lt;1,-1,0),E43+1)</f>
        <v>34</v>
      </c>
      <c r="H43" s="64"/>
      <c r="I43" s="65" t="n">
        <f aca="false">IF(H43="#",IF(NETWORKDAYS($F$14,$F$14,Holidays!C:C)&lt;1,-1,0),G43+1)</f>
        <v>35</v>
      </c>
      <c r="J43" s="64"/>
      <c r="K43" s="65" t="n">
        <f aca="false">IF(J43="#",IF(NETWORKDAYS($F$14,$F$14,Holidays!E:E)&lt;1,-1,0),I43+1)</f>
        <v>36</v>
      </c>
      <c r="L43" s="64"/>
      <c r="M43" s="65" t="n">
        <f aca="false">IF(L43="#",IF(NETWORKDAYS($F$14,$F$14,Holidays!G:G)&lt;1,-1,0),K43+1)</f>
        <v>37</v>
      </c>
      <c r="N43" s="64"/>
      <c r="O43" s="65" t="n">
        <f aca="false">IF(N43="#",IF(NETWORKDAYS($F$14,$F$14,Holidays!I:I)&lt;1,-1,0),M43+1)</f>
        <v>38</v>
      </c>
      <c r="P43" s="64"/>
      <c r="Q43" s="65" t="n">
        <f aca="false">IF(P43="#",IF(NETWORKDAYS($F$14,$F$14,Holidays!K:K)&lt;1,-1,0),O43+1)</f>
        <v>39</v>
      </c>
      <c r="R43" s="64"/>
      <c r="S43" s="65" t="n">
        <f aca="false">IF(R43="#",IF(NETWORKDAYS($F$14,$F$14,Holidays!M:M)&lt;1,-1,0),Q43+1)</f>
        <v>40</v>
      </c>
      <c r="T43" s="64"/>
      <c r="U43" s="65" t="n">
        <f aca="false">IF(T43="#",IF(NETWORKDAYS($F$14,$F$14,Holidays!O:O)&lt;1,-1,0),S43+1)</f>
        <v>41</v>
      </c>
      <c r="V43" s="64"/>
      <c r="W43" s="65" t="n">
        <f aca="false">IF(V43="#",IF(NETWORKDAYS($F$14,$F$14,Holidays!Q:Q)&lt;1,-1,0),U43+1)</f>
        <v>42</v>
      </c>
      <c r="X43" s="64"/>
      <c r="Y43" s="65" t="n">
        <f aca="false">IF(X43="#",IF(NETWORKDAYS($F$14,$F$14,Holidays!S:S)&lt;1,-1,0),W43+1)</f>
        <v>43</v>
      </c>
      <c r="Z43" s="64"/>
      <c r="AA43" s="65" t="n">
        <f aca="false">IF(Z43="#",IF(NETWORKDAYS($F$14,$F$14,Holidays!U:U)&lt;1,-1,0),Y43+1)</f>
        <v>44</v>
      </c>
      <c r="AB43" s="64"/>
      <c r="AC43" s="65" t="n">
        <f aca="false">IF(AB43="#",IF(NETWORKDAYS($F$14,$F$14,Holidays!W:W)&lt;1,-1,0),AA43+1)</f>
        <v>45</v>
      </c>
      <c r="AD43" s="64"/>
      <c r="AE43" s="65" t="n">
        <f aca="false">IF(AD43="#",IF(NETWORKDAYS($F$14,$F$14,Holidays!Y:Y)&lt;1,-1,0),AC43+1)</f>
        <v>46</v>
      </c>
      <c r="AF43" s="64"/>
      <c r="AG43" s="65" t="n">
        <f aca="false">IF(AF43="#",IF(NETWORKDAYS($F$14,$F$14,Holidays!AA:AA)&lt;1,-1,0),AE43+1)</f>
        <v>47</v>
      </c>
      <c r="AH43" s="64"/>
      <c r="AI43" s="65" t="n">
        <f aca="false">IF(AH43="#",IF(NETWORKDAYS($F$14,$F$14,Holidays!AC:AC)&lt;1,-1,0),AG43+1)</f>
        <v>48</v>
      </c>
      <c r="AJ43" s="64"/>
      <c r="AK43" s="65" t="n">
        <f aca="false">IF(AJ43="#",IF(NETWORKDAYS($F$14,$F$14,Holidays!AE:AE)&lt;1,-1,0),AI43+1)</f>
        <v>49</v>
      </c>
      <c r="AL43" s="64"/>
      <c r="AM43" s="65" t="n">
        <f aca="false">IF(AL43="#",IF(NETWORKDAYS($F$14,$F$14,Holidays!AG:AG)&lt;1,-1,0),AK43+1)</f>
        <v>50</v>
      </c>
      <c r="AN43" s="64"/>
      <c r="AO43" s="65" t="n">
        <f aca="false">IF(AN43="#",IF(NETWORKDAYS($F$14,$F$14,Holidays!AI:AI)&lt;1,-1,0),AM43+1)</f>
        <v>51</v>
      </c>
      <c r="AP43" s="64"/>
      <c r="AQ43" s="65" t="n">
        <f aca="false">IF(AP43="#",IF(NETWORKDAYS($F$14,$F$14,Holidays!AK:AK)&lt;1,-1,0),AO43+1)</f>
        <v>52</v>
      </c>
      <c r="AR43" s="64"/>
      <c r="AS43" s="65" t="n">
        <f aca="false">IF(AR43="#",IF(NETWORKDAYS($F$14,$F$14,Holidays!AM:AM)&lt;1,-1,0),AQ43+1)</f>
        <v>53</v>
      </c>
      <c r="AT43" s="64"/>
      <c r="AU43" s="65" t="n">
        <f aca="false">IF(AT43="#",IF(NETWORKDAYS($F$14,$F$14,Holidays!AO:AO)&lt;1,-1,0),AS43+1)</f>
        <v>54</v>
      </c>
      <c r="AV43" s="64"/>
      <c r="AW43" s="65" t="n">
        <f aca="false">IF(AV43="#",IF(NETWORKDAYS($F$14,$F$14,Holidays!AQ:AQ)&lt;1,-1,0),AU43+1)</f>
        <v>55</v>
      </c>
      <c r="AX43" s="64"/>
      <c r="AY43" s="65" t="n">
        <f aca="false">IF(AX43="#",IF(NETWORKDAYS($F$14,$F$14,Holidays!AS:AS)&lt;1,-1,0),AW43+1)</f>
        <v>56</v>
      </c>
      <c r="AZ43" s="64"/>
      <c r="BA43" s="65" t="n">
        <f aca="false">IF(AZ43="#",IF(NETWORKDAYS($F$14,$F$14,Holidays!AU:AU)&lt;1,-1,0),AY43+1)</f>
        <v>57</v>
      </c>
      <c r="BB43" s="64"/>
      <c r="BC43" s="65" t="n">
        <f aca="false">IF(BB43="#",IF(NETWORKDAYS($F$14,$F$14,Holidays!AW:AW)&lt;1,-1,0),BA43+1)</f>
        <v>58</v>
      </c>
      <c r="BD43" s="64"/>
      <c r="BE43" s="65" t="n">
        <f aca="false">IF(BD43="#",IF(NETWORKDAYS($F$14,$F$14,Holidays!AY:AY)&lt;1,-1,0),BC43+1)</f>
        <v>59</v>
      </c>
      <c r="BF43" s="64"/>
      <c r="BG43" s="65" t="n">
        <f aca="false">IF(BF43="#",IF(NETWORKDAYS($F$14,$F$14,Holidays!BA:BA)&lt;1,-1,0),BE43+1)</f>
        <v>60</v>
      </c>
      <c r="BH43" s="64"/>
      <c r="BI43" s="65" t="n">
        <f aca="false">IF(BH43="#",IF(NETWORKDAYS($F$14,$F$14,Holidays!BC:BC)&lt;1,-1,0),BG43+1)</f>
        <v>61</v>
      </c>
      <c r="BJ43" s="64"/>
      <c r="BK43" s="65" t="n">
        <f aca="false">IF(BJ43="#",IF(NETWORKDAYS($F$14,$F$14,Holidays!BE:BE)&lt;1,-1,0),BI43+1)</f>
        <v>62</v>
      </c>
      <c r="BL43" s="64"/>
      <c r="BM43" s="65" t="n">
        <f aca="false">IF(BL43="#",IF(NETWORKDAYS($F$14,$F$14,Holidays!BG:BG)&lt;1,-1,0),BK43+1)</f>
        <v>63</v>
      </c>
      <c r="BN43" s="64"/>
      <c r="BO43" s="65" t="n">
        <f aca="false">IF(BN43="#",IF(NETWORKDAYS($F$14,$F$14,Holidays!BI:BI)&lt;1,-1,0),BM43+1)</f>
        <v>64</v>
      </c>
      <c r="BP43" s="64"/>
      <c r="BQ43" s="65" t="n">
        <f aca="false">IF(BP43="#",IF(NETWORKDAYS($F$14,$F$14,Holidays!BK:BK)&lt;1,-1,0),BO43+1)</f>
        <v>65</v>
      </c>
      <c r="BR43" s="13"/>
      <c r="BS43" s="14"/>
    </row>
    <row r="44" customFormat="false" ht="16.5" hidden="false" customHeight="true" outlineLevel="0" collapsed="false">
      <c r="B44" s="40"/>
      <c r="C44" s="66" t="s">
        <v>28</v>
      </c>
      <c r="D44" s="62" t="s">
        <v>27</v>
      </c>
      <c r="E44" s="63" t="n">
        <v>26</v>
      </c>
      <c r="F44" s="64"/>
      <c r="G44" s="65" t="n">
        <f aca="false">IF(F44="#",IF(NETWORKDAYS($F$14,$F$14,Holidays!A:A)&lt;1,-1,0),E44+1)</f>
        <v>27</v>
      </c>
      <c r="H44" s="64"/>
      <c r="I44" s="65" t="n">
        <f aca="false">IF(H44="#",IF(NETWORKDAYS($F$14,$F$14,Holidays!C:C)&lt;1,-1,0),G44+1)</f>
        <v>28</v>
      </c>
      <c r="J44" s="64"/>
      <c r="K44" s="65" t="n">
        <f aca="false">IF(J44="#",IF(NETWORKDAYS($F$14,$F$14,Holidays!E:E)&lt;1,-1,0),I44+1)</f>
        <v>29</v>
      </c>
      <c r="L44" s="64"/>
      <c r="M44" s="65" t="n">
        <f aca="false">IF(L44="#",IF(NETWORKDAYS($F$14,$F$14,Holidays!G:G)&lt;1,-1,0),K44+1)</f>
        <v>30</v>
      </c>
      <c r="N44" s="64"/>
      <c r="O44" s="65" t="n">
        <f aca="false">IF(N44="#",IF(NETWORKDAYS($F$14,$F$14,Holidays!I:I)&lt;1,-1,0),M44+1)</f>
        <v>31</v>
      </c>
      <c r="P44" s="64"/>
      <c r="Q44" s="65" t="n">
        <f aca="false">IF(P44="#",IF(NETWORKDAYS($F$14,$F$14,Holidays!K:K)&lt;1,-1,0),O44+1)</f>
        <v>32</v>
      </c>
      <c r="R44" s="64"/>
      <c r="S44" s="65" t="n">
        <f aca="false">IF(R44="#",IF(NETWORKDAYS($F$14,$F$14,Holidays!M:M)&lt;1,-1,0),Q44+1)</f>
        <v>33</v>
      </c>
      <c r="T44" s="64"/>
      <c r="U44" s="65" t="n">
        <f aca="false">IF(T44="#",IF(NETWORKDAYS($F$14,$F$14,Holidays!O:O)&lt;1,-1,0),S44+1)</f>
        <v>34</v>
      </c>
      <c r="V44" s="64"/>
      <c r="W44" s="65" t="n">
        <f aca="false">IF(V44="#",IF(NETWORKDAYS($F$14,$F$14,Holidays!Q:Q)&lt;1,-1,0),U44+1)</f>
        <v>35</v>
      </c>
      <c r="X44" s="64"/>
      <c r="Y44" s="65" t="n">
        <f aca="false">IF(X44="#",IF(NETWORKDAYS($F$14,$F$14,Holidays!S:S)&lt;1,-1,0),W44+1)</f>
        <v>36</v>
      </c>
      <c r="Z44" s="64"/>
      <c r="AA44" s="65" t="n">
        <f aca="false">IF(Z44="#",IF(NETWORKDAYS($F$14,$F$14,Holidays!U:U)&lt;1,-1,0),Y44+1)</f>
        <v>37</v>
      </c>
      <c r="AB44" s="64"/>
      <c r="AC44" s="65" t="n">
        <f aca="false">IF(AB44="#",IF(NETWORKDAYS($F$14,$F$14,Holidays!W:W)&lt;1,-1,0),AA44+1)</f>
        <v>38</v>
      </c>
      <c r="AD44" s="64"/>
      <c r="AE44" s="65" t="n">
        <f aca="false">IF(AD44="#",IF(NETWORKDAYS($F$14,$F$14,Holidays!Y:Y)&lt;1,-1,0),AC44+1)</f>
        <v>39</v>
      </c>
      <c r="AF44" s="64"/>
      <c r="AG44" s="65" t="n">
        <f aca="false">IF(AF44="#",IF(NETWORKDAYS($F$14,$F$14,Holidays!AA:AA)&lt;1,-1,0),AE44+1)</f>
        <v>40</v>
      </c>
      <c r="AH44" s="64"/>
      <c r="AI44" s="65" t="n">
        <f aca="false">IF(AH44="#",IF(NETWORKDAYS($F$14,$F$14,Holidays!AC:AC)&lt;1,-1,0),AG44+1)</f>
        <v>41</v>
      </c>
      <c r="AJ44" s="64"/>
      <c r="AK44" s="65" t="n">
        <f aca="false">IF(AJ44="#",IF(NETWORKDAYS($F$14,$F$14,Holidays!AE:AE)&lt;1,-1,0),AI44+1)</f>
        <v>42</v>
      </c>
      <c r="AL44" s="64"/>
      <c r="AM44" s="65" t="n">
        <f aca="false">IF(AL44="#",IF(NETWORKDAYS($F$14,$F$14,Holidays!AG:AG)&lt;1,-1,0),AK44+1)</f>
        <v>43</v>
      </c>
      <c r="AN44" s="64"/>
      <c r="AO44" s="65" t="n">
        <f aca="false">IF(AN44="#",IF(NETWORKDAYS($F$14,$F$14,Holidays!AI:AI)&lt;1,-1,0),AM44+1)</f>
        <v>44</v>
      </c>
      <c r="AP44" s="64"/>
      <c r="AQ44" s="65" t="n">
        <f aca="false">IF(AP44="#",IF(NETWORKDAYS($F$14,$F$14,Holidays!AK:AK)&lt;1,-1,0),AO44+1)</f>
        <v>45</v>
      </c>
      <c r="AR44" s="64"/>
      <c r="AS44" s="65" t="n">
        <f aca="false">IF(AR44="#",IF(NETWORKDAYS($F$14,$F$14,Holidays!AM:AM)&lt;1,-1,0),AQ44+1)</f>
        <v>46</v>
      </c>
      <c r="AT44" s="64"/>
      <c r="AU44" s="65" t="n">
        <f aca="false">IF(AT44="#",IF(NETWORKDAYS($F$14,$F$14,Holidays!AO:AO)&lt;1,-1,0),AS44+1)</f>
        <v>47</v>
      </c>
      <c r="AV44" s="64"/>
      <c r="AW44" s="65" t="n">
        <f aca="false">IF(AV44="#",IF(NETWORKDAYS($F$14,$F$14,Holidays!AQ:AQ)&lt;1,-1,0),AU44+1)</f>
        <v>48</v>
      </c>
      <c r="AX44" s="64"/>
      <c r="AY44" s="65" t="n">
        <f aca="false">IF(AX44="#",IF(NETWORKDAYS($F$14,$F$14,Holidays!AS:AS)&lt;1,-1,0),AW44+1)</f>
        <v>49</v>
      </c>
      <c r="AZ44" s="64"/>
      <c r="BA44" s="65" t="n">
        <f aca="false">IF(AZ44="#",IF(NETWORKDAYS($F$14,$F$14,Holidays!AU:AU)&lt;1,-1,0),AY44+1)</f>
        <v>50</v>
      </c>
      <c r="BB44" s="64"/>
      <c r="BC44" s="65" t="n">
        <f aca="false">IF(BB44="#",IF(NETWORKDAYS($F$14,$F$14,Holidays!AW:AW)&lt;1,-1,0),BA44+1)</f>
        <v>51</v>
      </c>
      <c r="BD44" s="64"/>
      <c r="BE44" s="65" t="n">
        <f aca="false">IF(BD44="#",IF(NETWORKDAYS($F$14,$F$14,Holidays!AY:AY)&lt;1,-1,0),BC44+1)</f>
        <v>52</v>
      </c>
      <c r="BF44" s="64"/>
      <c r="BG44" s="65" t="n">
        <f aca="false">IF(BF44="#",IF(NETWORKDAYS($F$14,$F$14,Holidays!BA:BA)&lt;1,-1,0),BE44+1)</f>
        <v>53</v>
      </c>
      <c r="BH44" s="64"/>
      <c r="BI44" s="65" t="n">
        <f aca="false">IF(BH44="#",IF(NETWORKDAYS($F$14,$F$14,Holidays!BC:BC)&lt;1,-1,0),BG44+1)</f>
        <v>54</v>
      </c>
      <c r="BJ44" s="64"/>
      <c r="BK44" s="65" t="n">
        <f aca="false">IF(BJ44="#",IF(NETWORKDAYS($F$14,$F$14,Holidays!BE:BE)&lt;1,-1,0),BI44+1)</f>
        <v>55</v>
      </c>
      <c r="BL44" s="64"/>
      <c r="BM44" s="65" t="n">
        <f aca="false">IF(BL44="#",IF(NETWORKDAYS($F$14,$F$14,Holidays!BG:BG)&lt;1,-1,0),BK44+1)</f>
        <v>56</v>
      </c>
      <c r="BN44" s="64"/>
      <c r="BO44" s="65" t="n">
        <f aca="false">IF(BN44="#",IF(NETWORKDAYS($F$14,$F$14,Holidays!BI:BI)&lt;1,-1,0),BM44+1)</f>
        <v>57</v>
      </c>
      <c r="BP44" s="64"/>
      <c r="BQ44" s="65" t="n">
        <f aca="false">IF(BP44="#",IF(NETWORKDAYS($F$14,$F$14,Holidays!BK:BK)&lt;1,-1,0),BO44+1)</f>
        <v>58</v>
      </c>
      <c r="BR44" s="13"/>
      <c r="BS44" s="14"/>
    </row>
    <row r="45" customFormat="false" ht="16.5" hidden="false" customHeight="true" outlineLevel="0" collapsed="false">
      <c r="B45" s="40"/>
      <c r="C45" s="66" t="s">
        <v>28</v>
      </c>
      <c r="D45" s="62" t="s">
        <v>27</v>
      </c>
      <c r="E45" s="63" t="n">
        <v>16</v>
      </c>
      <c r="F45" s="64"/>
      <c r="G45" s="65" t="n">
        <f aca="false">IF(F45="#",IF(NETWORKDAYS($F$14,$F$14,Holidays!A:A)&lt;1,-1,0),E45+1)</f>
        <v>17</v>
      </c>
      <c r="H45" s="64"/>
      <c r="I45" s="65" t="n">
        <f aca="false">IF(H45="#",IF(NETWORKDAYS($F$14,$F$14,Holidays!C:C)&lt;1,-1,0),G45+1)</f>
        <v>18</v>
      </c>
      <c r="J45" s="64"/>
      <c r="K45" s="65" t="n">
        <f aca="false">IF(J45="#",IF(NETWORKDAYS($F$14,$F$14,Holidays!E:E)&lt;1,-1,0),I45+1)</f>
        <v>19</v>
      </c>
      <c r="L45" s="64"/>
      <c r="M45" s="65" t="n">
        <f aca="false">IF(L45="#",IF(NETWORKDAYS($F$14,$F$14,Holidays!G:G)&lt;1,-1,0),K45+1)</f>
        <v>20</v>
      </c>
      <c r="N45" s="64"/>
      <c r="O45" s="65" t="n">
        <f aca="false">IF(N45="#",IF(NETWORKDAYS($F$14,$F$14,Holidays!I:I)&lt;1,-1,0),M45+1)</f>
        <v>21</v>
      </c>
      <c r="P45" s="64"/>
      <c r="Q45" s="65" t="n">
        <f aca="false">IF(P45="#",IF(NETWORKDAYS($F$14,$F$14,Holidays!K:K)&lt;1,-1,0),O45+1)</f>
        <v>22</v>
      </c>
      <c r="R45" s="64"/>
      <c r="S45" s="65" t="n">
        <f aca="false">IF(R45="#",IF(NETWORKDAYS($F$14,$F$14,Holidays!M:M)&lt;1,-1,0),Q45+1)</f>
        <v>23</v>
      </c>
      <c r="T45" s="64"/>
      <c r="U45" s="65" t="n">
        <f aca="false">IF(T45="#",IF(NETWORKDAYS($F$14,$F$14,Holidays!O:O)&lt;1,-1,0),S45+1)</f>
        <v>24</v>
      </c>
      <c r="V45" s="64"/>
      <c r="W45" s="65" t="n">
        <f aca="false">IF(V45="#",IF(NETWORKDAYS($F$14,$F$14,Holidays!Q:Q)&lt;1,-1,0),U45+1)</f>
        <v>25</v>
      </c>
      <c r="X45" s="64"/>
      <c r="Y45" s="65" t="n">
        <f aca="false">IF(X45="#",IF(NETWORKDAYS($F$14,$F$14,Holidays!S:S)&lt;1,-1,0),W45+1)</f>
        <v>26</v>
      </c>
      <c r="Z45" s="64"/>
      <c r="AA45" s="65" t="n">
        <f aca="false">IF(Z45="#",IF(NETWORKDAYS($F$14,$F$14,Holidays!U:U)&lt;1,-1,0),Y45+1)</f>
        <v>27</v>
      </c>
      <c r="AB45" s="64"/>
      <c r="AC45" s="65" t="n">
        <f aca="false">IF(AB45="#",IF(NETWORKDAYS($F$14,$F$14,Holidays!W:W)&lt;1,-1,0),AA45+1)</f>
        <v>28</v>
      </c>
      <c r="AD45" s="64"/>
      <c r="AE45" s="65" t="n">
        <f aca="false">IF(AD45="#",IF(NETWORKDAYS($F$14,$F$14,Holidays!Y:Y)&lt;1,-1,0),AC45+1)</f>
        <v>29</v>
      </c>
      <c r="AF45" s="64"/>
      <c r="AG45" s="65" t="n">
        <f aca="false">IF(AF45="#",IF(NETWORKDAYS($F$14,$F$14,Holidays!AA:AA)&lt;1,-1,0),AE45+1)</f>
        <v>30</v>
      </c>
      <c r="AH45" s="64"/>
      <c r="AI45" s="65" t="n">
        <f aca="false">IF(AH45="#",IF(NETWORKDAYS($F$14,$F$14,Holidays!AC:AC)&lt;1,-1,0),AG45+1)</f>
        <v>31</v>
      </c>
      <c r="AJ45" s="64"/>
      <c r="AK45" s="65" t="n">
        <f aca="false">IF(AJ45="#",IF(NETWORKDAYS($F$14,$F$14,Holidays!AE:AE)&lt;1,-1,0),AI45+1)</f>
        <v>32</v>
      </c>
      <c r="AL45" s="64"/>
      <c r="AM45" s="65" t="n">
        <f aca="false">IF(AL45="#",IF(NETWORKDAYS($F$14,$F$14,Holidays!AG:AG)&lt;1,-1,0),AK45+1)</f>
        <v>33</v>
      </c>
      <c r="AN45" s="64"/>
      <c r="AO45" s="65" t="n">
        <f aca="false">IF(AN45="#",IF(NETWORKDAYS($F$14,$F$14,Holidays!AI:AI)&lt;1,-1,0),AM45+1)</f>
        <v>34</v>
      </c>
      <c r="AP45" s="64"/>
      <c r="AQ45" s="65" t="n">
        <f aca="false">IF(AP45="#",IF(NETWORKDAYS($F$14,$F$14,Holidays!AK:AK)&lt;1,-1,0),AO45+1)</f>
        <v>35</v>
      </c>
      <c r="AR45" s="64"/>
      <c r="AS45" s="65" t="n">
        <f aca="false">IF(AR45="#",IF(NETWORKDAYS($F$14,$F$14,Holidays!AM:AM)&lt;1,-1,0),AQ45+1)</f>
        <v>36</v>
      </c>
      <c r="AT45" s="64"/>
      <c r="AU45" s="65" t="n">
        <f aca="false">IF(AT45="#",IF(NETWORKDAYS($F$14,$F$14,Holidays!AO:AO)&lt;1,-1,0),AS45+1)</f>
        <v>37</v>
      </c>
      <c r="AV45" s="64"/>
      <c r="AW45" s="65" t="n">
        <f aca="false">IF(AV45="#",IF(NETWORKDAYS($F$14,$F$14,Holidays!AQ:AQ)&lt;1,-1,0),AU45+1)</f>
        <v>38</v>
      </c>
      <c r="AX45" s="64"/>
      <c r="AY45" s="65" t="n">
        <f aca="false">IF(AX45="#",IF(NETWORKDAYS($F$14,$F$14,Holidays!AS:AS)&lt;1,-1,0),AW45+1)</f>
        <v>39</v>
      </c>
      <c r="AZ45" s="64"/>
      <c r="BA45" s="65" t="n">
        <f aca="false">IF(AZ45="#",IF(NETWORKDAYS($F$14,$F$14,Holidays!AU:AU)&lt;1,-1,0),AY45+1)</f>
        <v>40</v>
      </c>
      <c r="BB45" s="64"/>
      <c r="BC45" s="65" t="n">
        <f aca="false">IF(BB45="#",IF(NETWORKDAYS($F$14,$F$14,Holidays!AW:AW)&lt;1,-1,0),BA45+1)</f>
        <v>41</v>
      </c>
      <c r="BD45" s="64"/>
      <c r="BE45" s="65" t="n">
        <f aca="false">IF(BD45="#",IF(NETWORKDAYS($F$14,$F$14,Holidays!AY:AY)&lt;1,-1,0),BC45+1)</f>
        <v>42</v>
      </c>
      <c r="BF45" s="64"/>
      <c r="BG45" s="65" t="n">
        <f aca="false">IF(BF45="#",IF(NETWORKDAYS($F$14,$F$14,Holidays!BA:BA)&lt;1,-1,0),BE45+1)</f>
        <v>43</v>
      </c>
      <c r="BH45" s="64"/>
      <c r="BI45" s="65" t="n">
        <f aca="false">IF(BH45="#",IF(NETWORKDAYS($F$14,$F$14,Holidays!BC:BC)&lt;1,-1,0),BG45+1)</f>
        <v>44</v>
      </c>
      <c r="BJ45" s="64"/>
      <c r="BK45" s="65" t="n">
        <f aca="false">IF(BJ45="#",IF(NETWORKDAYS($F$14,$F$14,Holidays!BE:BE)&lt;1,-1,0),BI45+1)</f>
        <v>45</v>
      </c>
      <c r="BL45" s="64"/>
      <c r="BM45" s="65" t="n">
        <f aca="false">IF(BL45="#",IF(NETWORKDAYS($F$14,$F$14,Holidays!BG:BG)&lt;1,-1,0),BK45+1)</f>
        <v>46</v>
      </c>
      <c r="BN45" s="64"/>
      <c r="BO45" s="65" t="n">
        <f aca="false">IF(BN45="#",IF(NETWORKDAYS($F$14,$F$14,Holidays!BI:BI)&lt;1,-1,0),BM45+1)</f>
        <v>47</v>
      </c>
      <c r="BP45" s="64"/>
      <c r="BQ45" s="65" t="n">
        <f aca="false">IF(BP45="#",IF(NETWORKDAYS($F$14,$F$14,Holidays!BK:BK)&lt;1,-1,0),BO45+1)</f>
        <v>48</v>
      </c>
      <c r="BR45" s="13"/>
      <c r="BS45" s="14"/>
    </row>
    <row r="46" customFormat="false" ht="16.5" hidden="false" customHeight="true" outlineLevel="0" collapsed="false">
      <c r="B46" s="40"/>
      <c r="C46" s="68" t="s">
        <v>28</v>
      </c>
      <c r="D46" s="62" t="s">
        <v>27</v>
      </c>
      <c r="E46" s="63" t="n">
        <v>33</v>
      </c>
      <c r="F46" s="64"/>
      <c r="G46" s="65" t="n">
        <f aca="false">IF(F46="#",IF(NETWORKDAYS($F$14,$F$14,Holidays!A:A)&lt;1,-1,0),E46+1)</f>
        <v>34</v>
      </c>
      <c r="H46" s="64"/>
      <c r="I46" s="65" t="n">
        <f aca="false">IF(H46="#",IF(NETWORKDAYS($F$14,$F$14,Holidays!C:C)&lt;1,-1,0),G46+1)</f>
        <v>35</v>
      </c>
      <c r="J46" s="64"/>
      <c r="K46" s="65" t="n">
        <f aca="false">IF(J46="#",IF(NETWORKDAYS($F$14,$F$14,Holidays!E:E)&lt;1,-1,0),I46+1)</f>
        <v>36</v>
      </c>
      <c r="L46" s="64"/>
      <c r="M46" s="65" t="n">
        <f aca="false">IF(L46="#",IF(NETWORKDAYS($F$14,$F$14,Holidays!G:G)&lt;1,-1,0),K46+1)</f>
        <v>37</v>
      </c>
      <c r="N46" s="64"/>
      <c r="O46" s="65" t="n">
        <f aca="false">IF(N46="#",IF(NETWORKDAYS($F$14,$F$14,Holidays!I:I)&lt;1,-1,0),M46+1)</f>
        <v>38</v>
      </c>
      <c r="P46" s="64"/>
      <c r="Q46" s="65" t="n">
        <f aca="false">IF(P46="#",IF(NETWORKDAYS($F$14,$F$14,Holidays!K:K)&lt;1,-1,0),O46+1)</f>
        <v>39</v>
      </c>
      <c r="R46" s="64"/>
      <c r="S46" s="65" t="n">
        <f aca="false">IF(R46="#",IF(NETWORKDAYS($F$14,$F$14,Holidays!M:M)&lt;1,-1,0),Q46+1)</f>
        <v>40</v>
      </c>
      <c r="T46" s="64"/>
      <c r="U46" s="65" t="n">
        <f aca="false">IF(T46="#",IF(NETWORKDAYS($F$14,$F$14,Holidays!O:O)&lt;1,-1,0),S46+1)</f>
        <v>41</v>
      </c>
      <c r="V46" s="64"/>
      <c r="W46" s="65" t="n">
        <f aca="false">IF(V46="#",IF(NETWORKDAYS($F$14,$F$14,Holidays!Q:Q)&lt;1,-1,0),U46+1)</f>
        <v>42</v>
      </c>
      <c r="X46" s="64"/>
      <c r="Y46" s="65" t="n">
        <f aca="false">IF(X46="#",IF(NETWORKDAYS($F$14,$F$14,Holidays!S:S)&lt;1,-1,0),W46+1)</f>
        <v>43</v>
      </c>
      <c r="Z46" s="64"/>
      <c r="AA46" s="65" t="n">
        <f aca="false">IF(Z46="#",IF(NETWORKDAYS($F$14,$F$14,Holidays!U:U)&lt;1,-1,0),Y46+1)</f>
        <v>44</v>
      </c>
      <c r="AB46" s="64"/>
      <c r="AC46" s="65" t="n">
        <f aca="false">IF(AB46="#",IF(NETWORKDAYS($F$14,$F$14,Holidays!W:W)&lt;1,-1,0),AA46+1)</f>
        <v>45</v>
      </c>
      <c r="AD46" s="64"/>
      <c r="AE46" s="65" t="n">
        <f aca="false">IF(AD46="#",IF(NETWORKDAYS($F$14,$F$14,Holidays!Y:Y)&lt;1,-1,0),AC46+1)</f>
        <v>46</v>
      </c>
      <c r="AF46" s="64"/>
      <c r="AG46" s="65" t="n">
        <f aca="false">IF(AF46="#",IF(NETWORKDAYS($F$14,$F$14,Holidays!AA:AA)&lt;1,-1,0),AE46+1)</f>
        <v>47</v>
      </c>
      <c r="AH46" s="64"/>
      <c r="AI46" s="65" t="n">
        <f aca="false">IF(AH46="#",IF(NETWORKDAYS($F$14,$F$14,Holidays!AC:AC)&lt;1,-1,0),AG46+1)</f>
        <v>48</v>
      </c>
      <c r="AJ46" s="64"/>
      <c r="AK46" s="65" t="n">
        <f aca="false">IF(AJ46="#",IF(NETWORKDAYS($F$14,$F$14,Holidays!AE:AE)&lt;1,-1,0),AI46+1)</f>
        <v>49</v>
      </c>
      <c r="AL46" s="64"/>
      <c r="AM46" s="65" t="n">
        <f aca="false">IF(AL46="#",IF(NETWORKDAYS($F$14,$F$14,Holidays!AG:AG)&lt;1,-1,0),AK46+1)</f>
        <v>50</v>
      </c>
      <c r="AN46" s="64"/>
      <c r="AO46" s="65" t="n">
        <f aca="false">IF(AN46="#",IF(NETWORKDAYS($F$14,$F$14,Holidays!AI:AI)&lt;1,-1,0),AM46+1)</f>
        <v>51</v>
      </c>
      <c r="AP46" s="64"/>
      <c r="AQ46" s="65" t="n">
        <f aca="false">IF(AP46="#",IF(NETWORKDAYS($F$14,$F$14,Holidays!AK:AK)&lt;1,-1,0),AO46+1)</f>
        <v>52</v>
      </c>
      <c r="AR46" s="64"/>
      <c r="AS46" s="65" t="n">
        <f aca="false">IF(AR46="#",IF(NETWORKDAYS($F$14,$F$14,Holidays!AM:AM)&lt;1,-1,0),AQ46+1)</f>
        <v>53</v>
      </c>
      <c r="AT46" s="64"/>
      <c r="AU46" s="65" t="n">
        <f aca="false">IF(AT46="#",IF(NETWORKDAYS($F$14,$F$14,Holidays!AO:AO)&lt;1,-1,0),AS46+1)</f>
        <v>54</v>
      </c>
      <c r="AV46" s="64"/>
      <c r="AW46" s="65" t="n">
        <f aca="false">IF(AV46="#",IF(NETWORKDAYS($F$14,$F$14,Holidays!AQ:AQ)&lt;1,-1,0),AU46+1)</f>
        <v>55</v>
      </c>
      <c r="AX46" s="64"/>
      <c r="AY46" s="65" t="n">
        <f aca="false">IF(AX46="#",IF(NETWORKDAYS($F$14,$F$14,Holidays!AS:AS)&lt;1,-1,0),AW46+1)</f>
        <v>56</v>
      </c>
      <c r="AZ46" s="64"/>
      <c r="BA46" s="65" t="n">
        <f aca="false">IF(AZ46="#",IF(NETWORKDAYS($F$14,$F$14,Holidays!AU:AU)&lt;1,-1,0),AY46+1)</f>
        <v>57</v>
      </c>
      <c r="BB46" s="64"/>
      <c r="BC46" s="65" t="n">
        <f aca="false">IF(BB46="#",IF(NETWORKDAYS($F$14,$F$14,Holidays!AW:AW)&lt;1,-1,0),BA46+1)</f>
        <v>58</v>
      </c>
      <c r="BD46" s="64"/>
      <c r="BE46" s="65" t="n">
        <f aca="false">IF(BD46="#",IF(NETWORKDAYS($F$14,$F$14,Holidays!AY:AY)&lt;1,-1,0),BC46+1)</f>
        <v>59</v>
      </c>
      <c r="BF46" s="64"/>
      <c r="BG46" s="65" t="n">
        <f aca="false">IF(BF46="#",IF(NETWORKDAYS($F$14,$F$14,Holidays!BA:BA)&lt;1,-1,0),BE46+1)</f>
        <v>60</v>
      </c>
      <c r="BH46" s="64"/>
      <c r="BI46" s="65" t="n">
        <f aca="false">IF(BH46="#",IF(NETWORKDAYS($F$14,$F$14,Holidays!BC:BC)&lt;1,-1,0),BG46+1)</f>
        <v>61</v>
      </c>
      <c r="BJ46" s="64"/>
      <c r="BK46" s="65" t="n">
        <f aca="false">IF(BJ46="#",IF(NETWORKDAYS($F$14,$F$14,Holidays!BE:BE)&lt;1,-1,0),BI46+1)</f>
        <v>62</v>
      </c>
      <c r="BL46" s="64"/>
      <c r="BM46" s="65" t="n">
        <f aca="false">IF(BL46="#",IF(NETWORKDAYS($F$14,$F$14,Holidays!BG:BG)&lt;1,-1,0),BK46+1)</f>
        <v>63</v>
      </c>
      <c r="BN46" s="64"/>
      <c r="BO46" s="65" t="n">
        <f aca="false">IF(BN46="#",IF(NETWORKDAYS($F$14,$F$14,Holidays!BI:BI)&lt;1,-1,0),BM46+1)</f>
        <v>64</v>
      </c>
      <c r="BP46" s="64"/>
      <c r="BQ46" s="65" t="n">
        <f aca="false">IF(BP46="#",IF(NETWORKDAYS($F$14,$F$14,Holidays!BK:BK)&lt;1,-1,0),BO46+1)</f>
        <v>65</v>
      </c>
      <c r="BR46" s="13"/>
      <c r="BS46" s="14"/>
    </row>
    <row r="47" customFormat="false" ht="16.5" hidden="false" customHeight="true" outlineLevel="0" collapsed="false">
      <c r="A47" s="73"/>
      <c r="B47" s="74"/>
      <c r="C47" s="67" t="s">
        <v>28</v>
      </c>
      <c r="D47" s="62" t="s">
        <v>27</v>
      </c>
      <c r="E47" s="63" t="n">
        <v>25</v>
      </c>
      <c r="F47" s="64"/>
      <c r="G47" s="65" t="n">
        <f aca="false">IF(F47="#",IF(NETWORKDAYS($F$14,$F$14,Holidays!A:A)&lt;1,-1,0),E47+1)</f>
        <v>26</v>
      </c>
      <c r="H47" s="64"/>
      <c r="I47" s="65" t="n">
        <f aca="false">IF(H47="#",IF(NETWORKDAYS($F$14,$F$14,Holidays!C:C)&lt;1,-1,0),G47+1)</f>
        <v>27</v>
      </c>
      <c r="J47" s="64"/>
      <c r="K47" s="65" t="n">
        <f aca="false">IF(J47="#",IF(NETWORKDAYS($F$14,$F$14,Holidays!E:E)&lt;1,-1,0),I47+1)</f>
        <v>28</v>
      </c>
      <c r="L47" s="64"/>
      <c r="M47" s="65" t="n">
        <f aca="false">IF(L47="#",IF(NETWORKDAYS($F$14,$F$14,Holidays!G:G)&lt;1,-1,0),K47+1)</f>
        <v>29</v>
      </c>
      <c r="N47" s="64"/>
      <c r="O47" s="65" t="n">
        <f aca="false">IF(N47="#",IF(NETWORKDAYS($F$14,$F$14,Holidays!I:I)&lt;1,-1,0),M47+1)</f>
        <v>30</v>
      </c>
      <c r="P47" s="64"/>
      <c r="Q47" s="65" t="n">
        <f aca="false">IF(P47="#",IF(NETWORKDAYS($F$14,$F$14,Holidays!K:K)&lt;1,-1,0),O47+1)</f>
        <v>31</v>
      </c>
      <c r="R47" s="64"/>
      <c r="S47" s="65" t="n">
        <f aca="false">IF(R47="#",IF(NETWORKDAYS($F$14,$F$14,Holidays!M:M)&lt;1,-1,0),Q47+1)</f>
        <v>32</v>
      </c>
      <c r="T47" s="64"/>
      <c r="U47" s="65" t="n">
        <f aca="false">IF(T47="#",IF(NETWORKDAYS($F$14,$F$14,Holidays!O:O)&lt;1,-1,0),S47+1)</f>
        <v>33</v>
      </c>
      <c r="V47" s="64"/>
      <c r="W47" s="65" t="n">
        <f aca="false">IF(V47="#",IF(NETWORKDAYS($F$14,$F$14,Holidays!Q:Q)&lt;1,-1,0),U47+1)</f>
        <v>34</v>
      </c>
      <c r="X47" s="64"/>
      <c r="Y47" s="65" t="n">
        <f aca="false">IF(X47="#",IF(NETWORKDAYS($F$14,$F$14,Holidays!S:S)&lt;1,-1,0),W47+1)</f>
        <v>35</v>
      </c>
      <c r="Z47" s="64"/>
      <c r="AA47" s="65" t="n">
        <f aca="false">IF(Z47="#",IF(NETWORKDAYS($F$14,$F$14,Holidays!U:U)&lt;1,-1,0),Y47+1)</f>
        <v>36</v>
      </c>
      <c r="AB47" s="64"/>
      <c r="AC47" s="65" t="n">
        <f aca="false">IF(AB47="#",IF(NETWORKDAYS($F$14,$F$14,Holidays!W:W)&lt;1,-1,0),AA47+1)</f>
        <v>37</v>
      </c>
      <c r="AD47" s="64"/>
      <c r="AE47" s="65" t="n">
        <f aca="false">IF(AD47="#",IF(NETWORKDAYS($F$14,$F$14,Holidays!Y:Y)&lt;1,-1,0),AC47+1)</f>
        <v>38</v>
      </c>
      <c r="AF47" s="64"/>
      <c r="AG47" s="65" t="n">
        <f aca="false">IF(AF47="#",IF(NETWORKDAYS($F$14,$F$14,Holidays!AA:AA)&lt;1,-1,0),AE47+1)</f>
        <v>39</v>
      </c>
      <c r="AH47" s="64"/>
      <c r="AI47" s="65" t="n">
        <f aca="false">IF(AH47="#",IF(NETWORKDAYS($F$14,$F$14,Holidays!AC:AC)&lt;1,-1,0),AG47+1)</f>
        <v>40</v>
      </c>
      <c r="AJ47" s="64"/>
      <c r="AK47" s="65" t="n">
        <f aca="false">IF(AJ47="#",IF(NETWORKDAYS($F$14,$F$14,Holidays!AE:AE)&lt;1,-1,0),AI47+1)</f>
        <v>41</v>
      </c>
      <c r="AL47" s="64"/>
      <c r="AM47" s="65" t="n">
        <f aca="false">IF(AL47="#",IF(NETWORKDAYS($F$14,$F$14,Holidays!AG:AG)&lt;1,-1,0),AK47+1)</f>
        <v>42</v>
      </c>
      <c r="AN47" s="64"/>
      <c r="AO47" s="65" t="n">
        <f aca="false">IF(AN47="#",IF(NETWORKDAYS($F$14,$F$14,Holidays!AI:AI)&lt;1,-1,0),AM47+1)</f>
        <v>43</v>
      </c>
      <c r="AP47" s="64"/>
      <c r="AQ47" s="65" t="n">
        <f aca="false">IF(AP47="#",IF(NETWORKDAYS($F$14,$F$14,Holidays!AK:AK)&lt;1,-1,0),AO47+1)</f>
        <v>44</v>
      </c>
      <c r="AR47" s="64"/>
      <c r="AS47" s="65" t="n">
        <f aca="false">IF(AR47="#",IF(NETWORKDAYS($F$14,$F$14,Holidays!AM:AM)&lt;1,-1,0),AQ47+1)</f>
        <v>45</v>
      </c>
      <c r="AT47" s="64"/>
      <c r="AU47" s="65" t="n">
        <f aca="false">IF(AT47="#",IF(NETWORKDAYS($F$14,$F$14,Holidays!AO:AO)&lt;1,-1,0),AS47+1)</f>
        <v>46</v>
      </c>
      <c r="AV47" s="64"/>
      <c r="AW47" s="65" t="n">
        <f aca="false">IF(AV47="#",IF(NETWORKDAYS($F$14,$F$14,Holidays!AQ:AQ)&lt;1,-1,0),AU47+1)</f>
        <v>47</v>
      </c>
      <c r="AX47" s="64"/>
      <c r="AY47" s="65" t="n">
        <f aca="false">IF(AX47="#",IF(NETWORKDAYS($F$14,$F$14,Holidays!AS:AS)&lt;1,-1,0),AW47+1)</f>
        <v>48</v>
      </c>
      <c r="AZ47" s="64"/>
      <c r="BA47" s="65" t="n">
        <f aca="false">IF(AZ47="#",IF(NETWORKDAYS($F$14,$F$14,Holidays!AU:AU)&lt;1,-1,0),AY47+1)</f>
        <v>49</v>
      </c>
      <c r="BB47" s="64"/>
      <c r="BC47" s="65" t="n">
        <f aca="false">IF(BB47="#",IF(NETWORKDAYS($F$14,$F$14,Holidays!AW:AW)&lt;1,-1,0),BA47+1)</f>
        <v>50</v>
      </c>
      <c r="BD47" s="64"/>
      <c r="BE47" s="65" t="n">
        <f aca="false">IF(BD47="#",IF(NETWORKDAYS($F$14,$F$14,Holidays!AY:AY)&lt;1,-1,0),BC47+1)</f>
        <v>51</v>
      </c>
      <c r="BF47" s="64"/>
      <c r="BG47" s="65" t="n">
        <f aca="false">IF(BF47="#",IF(NETWORKDAYS($F$14,$F$14,Holidays!BA:BA)&lt;1,-1,0),BE47+1)</f>
        <v>52</v>
      </c>
      <c r="BH47" s="64"/>
      <c r="BI47" s="65" t="n">
        <f aca="false">IF(BH47="#",IF(NETWORKDAYS($F$14,$F$14,Holidays!BC:BC)&lt;1,-1,0),BG47+1)</f>
        <v>53</v>
      </c>
      <c r="BJ47" s="64"/>
      <c r="BK47" s="65" t="n">
        <f aca="false">IF(BJ47="#",IF(NETWORKDAYS($F$14,$F$14,Holidays!BE:BE)&lt;1,-1,0),BI47+1)</f>
        <v>54</v>
      </c>
      <c r="BL47" s="64"/>
      <c r="BM47" s="65" t="n">
        <f aca="false">IF(BL47="#",IF(NETWORKDAYS($F$14,$F$14,Holidays!BG:BG)&lt;1,-1,0),BK47+1)</f>
        <v>55</v>
      </c>
      <c r="BN47" s="64"/>
      <c r="BO47" s="65" t="n">
        <f aca="false">IF(BN47="#",IF(NETWORKDAYS($F$14,$F$14,Holidays!BI:BI)&lt;1,-1,0),BM47+1)</f>
        <v>56</v>
      </c>
      <c r="BP47" s="64"/>
      <c r="BQ47" s="65" t="n">
        <f aca="false">IF(BP47="#",IF(NETWORKDAYS($F$14,$F$14,Holidays!BK:BK)&lt;1,-1,0),BO47+1)</f>
        <v>57</v>
      </c>
      <c r="BR47" s="75"/>
      <c r="BS47" s="76"/>
    </row>
    <row r="48" customFormat="false" ht="16.5" hidden="false" customHeight="true" outlineLevel="0" collapsed="false">
      <c r="B48" s="40"/>
      <c r="C48" s="68" t="s">
        <v>30</v>
      </c>
      <c r="D48" s="62" t="s">
        <v>27</v>
      </c>
      <c r="E48" s="63" t="n">
        <v>40</v>
      </c>
      <c r="F48" s="64"/>
      <c r="G48" s="65" t="n">
        <f aca="false">IF(F48="#",IF(NETWORKDAYS($F$14,$F$14,Holidays!A:A)&lt;1,-1,0),E48+1)</f>
        <v>41</v>
      </c>
      <c r="H48" s="64"/>
      <c r="I48" s="65" t="n">
        <f aca="false">IF(H48="#",IF(NETWORKDAYS($F$14,$F$14,Holidays!C:C)&lt;1,-1,0),G48+1)</f>
        <v>42</v>
      </c>
      <c r="J48" s="64"/>
      <c r="K48" s="65" t="n">
        <f aca="false">IF(J48="#",IF(NETWORKDAYS($F$14,$F$14,Holidays!E:E)&lt;1,-1,0),I48+1)</f>
        <v>43</v>
      </c>
      <c r="L48" s="64"/>
      <c r="M48" s="65" t="n">
        <f aca="false">IF(L48="#",IF(NETWORKDAYS($F$14,$F$14,Holidays!G:G)&lt;1,-1,0),K48+1)</f>
        <v>44</v>
      </c>
      <c r="N48" s="64"/>
      <c r="O48" s="65" t="n">
        <f aca="false">IF(N48="#",IF(NETWORKDAYS($F$14,$F$14,Holidays!I:I)&lt;1,-1,0),M48+1)</f>
        <v>45</v>
      </c>
      <c r="P48" s="64"/>
      <c r="Q48" s="65" t="n">
        <f aca="false">IF(P48="#",IF(NETWORKDAYS($F$14,$F$14,Holidays!K:K)&lt;1,-1,0),O48+1)</f>
        <v>46</v>
      </c>
      <c r="R48" s="64"/>
      <c r="S48" s="65" t="n">
        <f aca="false">IF(R48="#",IF(NETWORKDAYS($F$14,$F$14,Holidays!M:M)&lt;1,-1,0),Q48+1)</f>
        <v>47</v>
      </c>
      <c r="T48" s="64"/>
      <c r="U48" s="65" t="n">
        <f aca="false">IF(T48="#",IF(NETWORKDAYS($F$14,$F$14,Holidays!O:O)&lt;1,-1,0),S48+1)</f>
        <v>48</v>
      </c>
      <c r="V48" s="64"/>
      <c r="W48" s="65" t="n">
        <f aca="false">IF(V48="#",IF(NETWORKDAYS($F$14,$F$14,Holidays!Q:Q)&lt;1,-1,0),U48+1)</f>
        <v>49</v>
      </c>
      <c r="X48" s="64"/>
      <c r="Y48" s="65" t="n">
        <f aca="false">IF(X48="#",IF(NETWORKDAYS($F$14,$F$14,Holidays!S:S)&lt;1,-1,0),W48+1)</f>
        <v>50</v>
      </c>
      <c r="Z48" s="64"/>
      <c r="AA48" s="65" t="n">
        <f aca="false">IF(Z48="#",IF(NETWORKDAYS($F$14,$F$14,Holidays!U:U)&lt;1,-1,0),Y48+1)</f>
        <v>51</v>
      </c>
      <c r="AB48" s="64"/>
      <c r="AC48" s="65" t="n">
        <f aca="false">IF(AB48="#",IF(NETWORKDAYS($F$14,$F$14,Holidays!W:W)&lt;1,-1,0),AA48+1)</f>
        <v>52</v>
      </c>
      <c r="AD48" s="64"/>
      <c r="AE48" s="65" t="n">
        <f aca="false">IF(AD48="#",IF(NETWORKDAYS($F$14,$F$14,Holidays!Y:Y)&lt;1,-1,0),AC48+1)</f>
        <v>53</v>
      </c>
      <c r="AF48" s="64"/>
      <c r="AG48" s="65" t="n">
        <f aca="false">IF(AF48="#",IF(NETWORKDAYS($F$14,$F$14,Holidays!AA:AA)&lt;1,-1,0),AE48+1)</f>
        <v>54</v>
      </c>
      <c r="AH48" s="64"/>
      <c r="AI48" s="65" t="n">
        <f aca="false">IF(AH48="#",IF(NETWORKDAYS($F$14,$F$14,Holidays!AC:AC)&lt;1,-1,0),AG48+1)</f>
        <v>55</v>
      </c>
      <c r="AJ48" s="64"/>
      <c r="AK48" s="65" t="n">
        <f aca="false">IF(AJ48="#",IF(NETWORKDAYS($F$14,$F$14,Holidays!AE:AE)&lt;1,-1,0),AI48+1)</f>
        <v>56</v>
      </c>
      <c r="AL48" s="64"/>
      <c r="AM48" s="65" t="n">
        <f aca="false">IF(AL48="#",IF(NETWORKDAYS($F$14,$F$14,Holidays!AG:AG)&lt;1,-1,0),AK48+1)</f>
        <v>57</v>
      </c>
      <c r="AN48" s="64"/>
      <c r="AO48" s="65" t="n">
        <f aca="false">IF(AN48="#",IF(NETWORKDAYS($F$14,$F$14,Holidays!AI:AI)&lt;1,-1,0),AM48+1)</f>
        <v>58</v>
      </c>
      <c r="AP48" s="64"/>
      <c r="AQ48" s="65" t="n">
        <f aca="false">IF(AP48="#",IF(NETWORKDAYS($F$14,$F$14,Holidays!AK:AK)&lt;1,-1,0),AO48+1)</f>
        <v>59</v>
      </c>
      <c r="AR48" s="64"/>
      <c r="AS48" s="65" t="n">
        <f aca="false">IF(AR48="#",IF(NETWORKDAYS($F$14,$F$14,Holidays!AM:AM)&lt;1,-1,0),AQ48+1)</f>
        <v>60</v>
      </c>
      <c r="AT48" s="64"/>
      <c r="AU48" s="65" t="n">
        <f aca="false">IF(AT48="#",IF(NETWORKDAYS($F$14,$F$14,Holidays!AO:AO)&lt;1,-1,0),AS48+1)</f>
        <v>61</v>
      </c>
      <c r="AV48" s="64"/>
      <c r="AW48" s="65" t="n">
        <f aca="false">IF(AV48="#",IF(NETWORKDAYS($F$14,$F$14,Holidays!AQ:AQ)&lt;1,-1,0),AU48+1)</f>
        <v>62</v>
      </c>
      <c r="AX48" s="64"/>
      <c r="AY48" s="65" t="n">
        <f aca="false">IF(AX48="#",IF(NETWORKDAYS($F$14,$F$14,Holidays!AS:AS)&lt;1,-1,0),AW48+1)</f>
        <v>63</v>
      </c>
      <c r="AZ48" s="64"/>
      <c r="BA48" s="65" t="n">
        <f aca="false">IF(AZ48="#",IF(NETWORKDAYS($F$14,$F$14,Holidays!AU:AU)&lt;1,-1,0),AY48+1)</f>
        <v>64</v>
      </c>
      <c r="BB48" s="64"/>
      <c r="BC48" s="65" t="n">
        <f aca="false">IF(BB48="#",IF(NETWORKDAYS($F$14,$F$14,Holidays!AW:AW)&lt;1,-1,0),BA48+1)</f>
        <v>65</v>
      </c>
      <c r="BD48" s="64"/>
      <c r="BE48" s="65" t="n">
        <f aca="false">IF(BD48="#",IF(NETWORKDAYS($F$14,$F$14,Holidays!AY:AY)&lt;1,-1,0),BC48+1)</f>
        <v>66</v>
      </c>
      <c r="BF48" s="64"/>
      <c r="BG48" s="65" t="n">
        <f aca="false">IF(BF48="#",IF(NETWORKDAYS($F$14,$F$14,Holidays!BA:BA)&lt;1,-1,0),BE48+1)</f>
        <v>67</v>
      </c>
      <c r="BH48" s="64"/>
      <c r="BI48" s="65" t="n">
        <f aca="false">IF(BH48="#",IF(NETWORKDAYS($F$14,$F$14,Holidays!BC:BC)&lt;1,-1,0),BG48+1)</f>
        <v>68</v>
      </c>
      <c r="BJ48" s="64"/>
      <c r="BK48" s="65" t="n">
        <f aca="false">IF(BJ48="#",IF(NETWORKDAYS($F$14,$F$14,Holidays!BE:BE)&lt;1,-1,0),BI48+1)</f>
        <v>69</v>
      </c>
      <c r="BL48" s="64"/>
      <c r="BM48" s="65" t="n">
        <f aca="false">IF(BL48="#",IF(NETWORKDAYS($F$14,$F$14,Holidays!BG:BG)&lt;1,-1,0),BK48+1)</f>
        <v>70</v>
      </c>
      <c r="BN48" s="64"/>
      <c r="BO48" s="65" t="n">
        <f aca="false">IF(BN48="#",IF(NETWORKDAYS($F$14,$F$14,Holidays!BI:BI)&lt;1,-1,0),BM48+1)</f>
        <v>71</v>
      </c>
      <c r="BP48" s="64"/>
      <c r="BQ48" s="65" t="n">
        <f aca="false">IF(BP48="#",IF(NETWORKDAYS($F$14,$F$14,Holidays!BK:BK)&lt;1,-1,0),BO48+1)</f>
        <v>72</v>
      </c>
      <c r="BR48" s="13"/>
      <c r="BS48" s="14"/>
    </row>
    <row r="49" customFormat="false" ht="16.5" hidden="false" customHeight="true" outlineLevel="0" collapsed="false">
      <c r="B49" s="40"/>
      <c r="C49" s="68" t="s">
        <v>30</v>
      </c>
      <c r="D49" s="62" t="s">
        <v>27</v>
      </c>
      <c r="E49" s="63" t="n">
        <v>40</v>
      </c>
      <c r="F49" s="64"/>
      <c r="G49" s="65" t="n">
        <f aca="false">IF(F49="#",IF(NETWORKDAYS($F$14,$F$14,Holidays!A:A)&lt;1,-1,0),E49+1)</f>
        <v>41</v>
      </c>
      <c r="H49" s="64"/>
      <c r="I49" s="65" t="n">
        <f aca="false">IF(H49="#",IF(NETWORKDAYS($F$14,$F$14,Holidays!C:C)&lt;1,-1,0),G49+1)</f>
        <v>42</v>
      </c>
      <c r="J49" s="64"/>
      <c r="K49" s="65" t="n">
        <f aca="false">IF(J49="#",IF(NETWORKDAYS($F$14,$F$14,Holidays!E:E)&lt;1,-1,0),I49+1)</f>
        <v>43</v>
      </c>
      <c r="L49" s="64"/>
      <c r="M49" s="65" t="n">
        <f aca="false">IF(L49="#",IF(NETWORKDAYS($F$14,$F$14,Holidays!G:G)&lt;1,-1,0),K49+1)</f>
        <v>44</v>
      </c>
      <c r="N49" s="64"/>
      <c r="O49" s="65" t="n">
        <f aca="false">IF(N49="#",IF(NETWORKDAYS($F$14,$F$14,Holidays!I:I)&lt;1,-1,0),M49+1)</f>
        <v>45</v>
      </c>
      <c r="P49" s="64"/>
      <c r="Q49" s="65" t="n">
        <f aca="false">IF(P49="#",IF(NETWORKDAYS($F$14,$F$14,Holidays!K:K)&lt;1,-1,0),O49+1)</f>
        <v>46</v>
      </c>
      <c r="R49" s="64"/>
      <c r="S49" s="65" t="n">
        <f aca="false">IF(R49="#",IF(NETWORKDAYS($F$14,$F$14,Holidays!M:M)&lt;1,-1,0),Q49+1)</f>
        <v>47</v>
      </c>
      <c r="T49" s="64"/>
      <c r="U49" s="65" t="n">
        <f aca="false">IF(T49="#",IF(NETWORKDAYS($F$14,$F$14,Holidays!O:O)&lt;1,-1,0),S49+1)</f>
        <v>48</v>
      </c>
      <c r="V49" s="64"/>
      <c r="W49" s="65" t="n">
        <f aca="false">IF(V49="#",IF(NETWORKDAYS($F$14,$F$14,Holidays!Q:Q)&lt;1,-1,0),U49+1)</f>
        <v>49</v>
      </c>
      <c r="X49" s="64"/>
      <c r="Y49" s="65" t="n">
        <f aca="false">IF(X49="#",IF(NETWORKDAYS($F$14,$F$14,Holidays!S:S)&lt;1,-1,0),W49+1)</f>
        <v>50</v>
      </c>
      <c r="Z49" s="64"/>
      <c r="AA49" s="65" t="n">
        <f aca="false">IF(Z49="#",IF(NETWORKDAYS($F$14,$F$14,Holidays!U:U)&lt;1,-1,0),Y49+1)</f>
        <v>51</v>
      </c>
      <c r="AB49" s="64"/>
      <c r="AC49" s="65" t="n">
        <f aca="false">IF(AB49="#",IF(NETWORKDAYS($F$14,$F$14,Holidays!W:W)&lt;1,-1,0),AA49+1)</f>
        <v>52</v>
      </c>
      <c r="AD49" s="64"/>
      <c r="AE49" s="65" t="n">
        <f aca="false">IF(AD49="#",IF(NETWORKDAYS($F$14,$F$14,Holidays!Y:Y)&lt;1,-1,0),AC49+1)</f>
        <v>53</v>
      </c>
      <c r="AF49" s="64"/>
      <c r="AG49" s="65" t="n">
        <f aca="false">IF(AF49="#",IF(NETWORKDAYS($F$14,$F$14,Holidays!AA:AA)&lt;1,-1,0),AE49+1)</f>
        <v>54</v>
      </c>
      <c r="AH49" s="64"/>
      <c r="AI49" s="65" t="n">
        <f aca="false">IF(AH49="#",IF(NETWORKDAYS($F$14,$F$14,Holidays!AC:AC)&lt;1,-1,0),AG49+1)</f>
        <v>55</v>
      </c>
      <c r="AJ49" s="64"/>
      <c r="AK49" s="65" t="n">
        <f aca="false">IF(AJ49="#",IF(NETWORKDAYS($F$14,$F$14,Holidays!AE:AE)&lt;1,-1,0),AI49+1)</f>
        <v>56</v>
      </c>
      <c r="AL49" s="64"/>
      <c r="AM49" s="65" t="n">
        <f aca="false">IF(AL49="#",IF(NETWORKDAYS($F$14,$F$14,Holidays!AG:AG)&lt;1,-1,0),AK49+1)</f>
        <v>57</v>
      </c>
      <c r="AN49" s="64"/>
      <c r="AO49" s="65" t="n">
        <f aca="false">IF(AN49="#",IF(NETWORKDAYS($F$14,$F$14,Holidays!AI:AI)&lt;1,-1,0),AM49+1)</f>
        <v>58</v>
      </c>
      <c r="AP49" s="64"/>
      <c r="AQ49" s="65" t="n">
        <f aca="false">IF(AP49="#",IF(NETWORKDAYS($F$14,$F$14,Holidays!AK:AK)&lt;1,-1,0),AO49+1)</f>
        <v>59</v>
      </c>
      <c r="AR49" s="64"/>
      <c r="AS49" s="65" t="n">
        <f aca="false">IF(AR49="#",IF(NETWORKDAYS($F$14,$F$14,Holidays!AM:AM)&lt;1,-1,0),AQ49+1)</f>
        <v>60</v>
      </c>
      <c r="AT49" s="64"/>
      <c r="AU49" s="65" t="n">
        <f aca="false">IF(AT49="#",IF(NETWORKDAYS($F$14,$F$14,Holidays!AO:AO)&lt;1,-1,0),AS49+1)</f>
        <v>61</v>
      </c>
      <c r="AV49" s="64"/>
      <c r="AW49" s="65" t="n">
        <f aca="false">IF(AV49="#",IF(NETWORKDAYS($F$14,$F$14,Holidays!AQ:AQ)&lt;1,-1,0),AU49+1)</f>
        <v>62</v>
      </c>
      <c r="AX49" s="64"/>
      <c r="AY49" s="65" t="n">
        <f aca="false">IF(AX49="#",IF(NETWORKDAYS($F$14,$F$14,Holidays!AS:AS)&lt;1,-1,0),AW49+1)</f>
        <v>63</v>
      </c>
      <c r="AZ49" s="64"/>
      <c r="BA49" s="65" t="n">
        <f aca="false">IF(AZ49="#",IF(NETWORKDAYS($F$14,$F$14,Holidays!AU:AU)&lt;1,-1,0),AY49+1)</f>
        <v>64</v>
      </c>
      <c r="BB49" s="64"/>
      <c r="BC49" s="65" t="n">
        <f aca="false">IF(BB49="#",IF(NETWORKDAYS($F$14,$F$14,Holidays!AW:AW)&lt;1,-1,0),BA49+1)</f>
        <v>65</v>
      </c>
      <c r="BD49" s="64"/>
      <c r="BE49" s="65" t="n">
        <f aca="false">IF(BD49="#",IF(NETWORKDAYS($F$14,$F$14,Holidays!AY:AY)&lt;1,-1,0),BC49+1)</f>
        <v>66</v>
      </c>
      <c r="BF49" s="64"/>
      <c r="BG49" s="65" t="n">
        <f aca="false">IF(BF49="#",IF(NETWORKDAYS($F$14,$F$14,Holidays!BA:BA)&lt;1,-1,0),BE49+1)</f>
        <v>67</v>
      </c>
      <c r="BH49" s="64"/>
      <c r="BI49" s="65" t="n">
        <f aca="false">IF(BH49="#",IF(NETWORKDAYS($F$14,$F$14,Holidays!BC:BC)&lt;1,-1,0),BG49+1)</f>
        <v>68</v>
      </c>
      <c r="BJ49" s="64"/>
      <c r="BK49" s="65" t="n">
        <f aca="false">IF(BJ49="#",IF(NETWORKDAYS($F$14,$F$14,Holidays!BE:BE)&lt;1,-1,0),BI49+1)</f>
        <v>69</v>
      </c>
      <c r="BL49" s="64"/>
      <c r="BM49" s="65" t="n">
        <f aca="false">IF(BL49="#",IF(NETWORKDAYS($F$14,$F$14,Holidays!BG:BG)&lt;1,-1,0),BK49+1)</f>
        <v>70</v>
      </c>
      <c r="BN49" s="64"/>
      <c r="BO49" s="65" t="n">
        <f aca="false">IF(BN49="#",IF(NETWORKDAYS($F$14,$F$14,Holidays!BI:BI)&lt;1,-1,0),BM49+1)</f>
        <v>71</v>
      </c>
      <c r="BP49" s="64"/>
      <c r="BQ49" s="65" t="n">
        <f aca="false">IF(BP49="#",IF(NETWORKDAYS($F$14,$F$14,Holidays!BK:BK)&lt;1,-1,0),BO49+1)</f>
        <v>72</v>
      </c>
      <c r="BR49" s="13"/>
      <c r="BS49" s="14"/>
    </row>
    <row r="50" customFormat="false" ht="16.5" hidden="false" customHeight="true" outlineLevel="0" collapsed="false">
      <c r="B50" s="40"/>
      <c r="C50" s="68" t="s">
        <v>30</v>
      </c>
      <c r="D50" s="62" t="s">
        <v>27</v>
      </c>
      <c r="E50" s="63" t="n">
        <v>41</v>
      </c>
      <c r="F50" s="64"/>
      <c r="G50" s="65" t="n">
        <f aca="false">IF(F50="#",IF(NETWORKDAYS($F$14,$F$14,Holidays!A:A)&lt;1,-1,0),E50+1)</f>
        <v>42</v>
      </c>
      <c r="H50" s="64"/>
      <c r="I50" s="65" t="n">
        <f aca="false">IF(H50="#",IF(NETWORKDAYS($F$14,$F$14,Holidays!C:C)&lt;1,-1,0),G50+1)</f>
        <v>43</v>
      </c>
      <c r="J50" s="64"/>
      <c r="K50" s="65" t="n">
        <f aca="false">IF(J50="#",IF(NETWORKDAYS($F$14,$F$14,Holidays!E:E)&lt;1,-1,0),I50+1)</f>
        <v>44</v>
      </c>
      <c r="L50" s="64"/>
      <c r="M50" s="65" t="n">
        <f aca="false">IF(L50="#",IF(NETWORKDAYS($F$14,$F$14,Holidays!G:G)&lt;1,-1,0),K50+1)</f>
        <v>45</v>
      </c>
      <c r="N50" s="64"/>
      <c r="O50" s="65" t="n">
        <f aca="false">IF(N50="#",IF(NETWORKDAYS($F$14,$F$14,Holidays!I:I)&lt;1,-1,0),M50+1)</f>
        <v>46</v>
      </c>
      <c r="P50" s="64"/>
      <c r="Q50" s="65" t="n">
        <f aca="false">IF(P50="#",IF(NETWORKDAYS($F$14,$F$14,Holidays!K:K)&lt;1,-1,0),O50+1)</f>
        <v>47</v>
      </c>
      <c r="R50" s="64"/>
      <c r="S50" s="65" t="n">
        <f aca="false">IF(R50="#",IF(NETWORKDAYS($F$14,$F$14,Holidays!M:M)&lt;1,-1,0),Q50+1)</f>
        <v>48</v>
      </c>
      <c r="T50" s="64"/>
      <c r="U50" s="65" t="n">
        <f aca="false">IF(T50="#",IF(NETWORKDAYS($F$14,$F$14,Holidays!O:O)&lt;1,-1,0),S50+1)</f>
        <v>49</v>
      </c>
      <c r="V50" s="64"/>
      <c r="W50" s="65" t="n">
        <f aca="false">IF(V50="#",IF(NETWORKDAYS($F$14,$F$14,Holidays!Q:Q)&lt;1,-1,0),U50+1)</f>
        <v>50</v>
      </c>
      <c r="X50" s="64"/>
      <c r="Y50" s="65" t="n">
        <f aca="false">IF(X50="#",IF(NETWORKDAYS($F$14,$F$14,Holidays!S:S)&lt;1,-1,0),W50+1)</f>
        <v>51</v>
      </c>
      <c r="Z50" s="64"/>
      <c r="AA50" s="65" t="n">
        <f aca="false">IF(Z50="#",IF(NETWORKDAYS($F$14,$F$14,Holidays!U:U)&lt;1,-1,0),Y50+1)</f>
        <v>52</v>
      </c>
      <c r="AB50" s="64"/>
      <c r="AC50" s="65" t="n">
        <f aca="false">IF(AB50="#",IF(NETWORKDAYS($F$14,$F$14,Holidays!W:W)&lt;1,-1,0),AA50+1)</f>
        <v>53</v>
      </c>
      <c r="AD50" s="64"/>
      <c r="AE50" s="65" t="n">
        <f aca="false">IF(AD50="#",IF(NETWORKDAYS($F$14,$F$14,Holidays!Y:Y)&lt;1,-1,0),AC50+1)</f>
        <v>54</v>
      </c>
      <c r="AF50" s="64"/>
      <c r="AG50" s="65" t="n">
        <f aca="false">IF(AF50="#",IF(NETWORKDAYS($F$14,$F$14,Holidays!AA:AA)&lt;1,-1,0),AE50+1)</f>
        <v>55</v>
      </c>
      <c r="AH50" s="64"/>
      <c r="AI50" s="65" t="n">
        <f aca="false">IF(AH50="#",IF(NETWORKDAYS($F$14,$F$14,Holidays!AC:AC)&lt;1,-1,0),AG50+1)</f>
        <v>56</v>
      </c>
      <c r="AJ50" s="64"/>
      <c r="AK50" s="65" t="n">
        <f aca="false">IF(AJ50="#",IF(NETWORKDAYS($F$14,$F$14,Holidays!AE:AE)&lt;1,-1,0),AI50+1)</f>
        <v>57</v>
      </c>
      <c r="AL50" s="64"/>
      <c r="AM50" s="65" t="n">
        <f aca="false">IF(AL50="#",IF(NETWORKDAYS($F$14,$F$14,Holidays!AG:AG)&lt;1,-1,0),AK50+1)</f>
        <v>58</v>
      </c>
      <c r="AN50" s="64"/>
      <c r="AO50" s="65" t="n">
        <f aca="false">IF(AN50="#",IF(NETWORKDAYS($F$14,$F$14,Holidays!AI:AI)&lt;1,-1,0),AM50+1)</f>
        <v>59</v>
      </c>
      <c r="AP50" s="64"/>
      <c r="AQ50" s="65" t="n">
        <f aca="false">IF(AP50="#",IF(NETWORKDAYS($F$14,$F$14,Holidays!AK:AK)&lt;1,-1,0),AO50+1)</f>
        <v>60</v>
      </c>
      <c r="AR50" s="64"/>
      <c r="AS50" s="65" t="n">
        <f aca="false">IF(AR50="#",IF(NETWORKDAYS($F$14,$F$14,Holidays!AM:AM)&lt;1,-1,0),AQ50+1)</f>
        <v>61</v>
      </c>
      <c r="AT50" s="64"/>
      <c r="AU50" s="65" t="n">
        <f aca="false">IF(AT50="#",IF(NETWORKDAYS($F$14,$F$14,Holidays!AO:AO)&lt;1,-1,0),AS50+1)</f>
        <v>62</v>
      </c>
      <c r="AV50" s="64"/>
      <c r="AW50" s="65" t="n">
        <f aca="false">IF(AV50="#",IF(NETWORKDAYS($F$14,$F$14,Holidays!AQ:AQ)&lt;1,-1,0),AU50+1)</f>
        <v>63</v>
      </c>
      <c r="AX50" s="64"/>
      <c r="AY50" s="65" t="n">
        <f aca="false">IF(AX50="#",IF(NETWORKDAYS($F$14,$F$14,Holidays!AS:AS)&lt;1,-1,0),AW50+1)</f>
        <v>64</v>
      </c>
      <c r="AZ50" s="64"/>
      <c r="BA50" s="65" t="n">
        <f aca="false">IF(AZ50="#",IF(NETWORKDAYS($F$14,$F$14,Holidays!AU:AU)&lt;1,-1,0),AY50+1)</f>
        <v>65</v>
      </c>
      <c r="BB50" s="64"/>
      <c r="BC50" s="65" t="n">
        <f aca="false">IF(BB50="#",IF(NETWORKDAYS($F$14,$F$14,Holidays!AW:AW)&lt;1,-1,0),BA50+1)</f>
        <v>66</v>
      </c>
      <c r="BD50" s="64"/>
      <c r="BE50" s="65" t="n">
        <f aca="false">IF(BD50="#",IF(NETWORKDAYS($F$14,$F$14,Holidays!AY:AY)&lt;1,-1,0),BC50+1)</f>
        <v>67</v>
      </c>
      <c r="BF50" s="64"/>
      <c r="BG50" s="65" t="n">
        <f aca="false">IF(BF50="#",IF(NETWORKDAYS($F$14,$F$14,Holidays!BA:BA)&lt;1,-1,0),BE50+1)</f>
        <v>68</v>
      </c>
      <c r="BH50" s="64"/>
      <c r="BI50" s="65" t="n">
        <f aca="false">IF(BH50="#",IF(NETWORKDAYS($F$14,$F$14,Holidays!BC:BC)&lt;1,-1,0),BG50+1)</f>
        <v>69</v>
      </c>
      <c r="BJ50" s="64"/>
      <c r="BK50" s="65" t="n">
        <f aca="false">IF(BJ50="#",IF(NETWORKDAYS($F$14,$F$14,Holidays!BE:BE)&lt;1,-1,0),BI50+1)</f>
        <v>70</v>
      </c>
      <c r="BL50" s="64"/>
      <c r="BM50" s="65" t="n">
        <f aca="false">IF(BL50="#",IF(NETWORKDAYS($F$14,$F$14,Holidays!BG:BG)&lt;1,-1,0),BK50+1)</f>
        <v>71</v>
      </c>
      <c r="BN50" s="64"/>
      <c r="BO50" s="65" t="n">
        <f aca="false">IF(BN50="#",IF(NETWORKDAYS($F$14,$F$14,Holidays!BI:BI)&lt;1,-1,0),BM50+1)</f>
        <v>72</v>
      </c>
      <c r="BP50" s="64"/>
      <c r="BQ50" s="65" t="n">
        <f aca="false">IF(BP50="#",IF(NETWORKDAYS($F$14,$F$14,Holidays!BK:BK)&lt;1,-1,0),BO50+1)</f>
        <v>73</v>
      </c>
      <c r="BR50" s="13"/>
      <c r="BS50" s="14"/>
    </row>
    <row r="51" customFormat="false" ht="16.5" hidden="false" customHeight="true" outlineLevel="0" collapsed="false">
      <c r="B51" s="40"/>
      <c r="C51" s="68" t="s">
        <v>30</v>
      </c>
      <c r="D51" s="62" t="s">
        <v>27</v>
      </c>
      <c r="E51" s="63" t="n">
        <v>47</v>
      </c>
      <c r="F51" s="64"/>
      <c r="G51" s="65" t="n">
        <f aca="false">IF(F51="#",IF(NETWORKDAYS($F$14,$F$14,Holidays!A:A)&lt;1,-1,0),E51+1)</f>
        <v>48</v>
      </c>
      <c r="H51" s="64"/>
      <c r="I51" s="65" t="n">
        <f aca="false">IF(H51="#",IF(NETWORKDAYS($F$14,$F$14,Holidays!C:C)&lt;1,-1,0),G51+1)</f>
        <v>49</v>
      </c>
      <c r="J51" s="64"/>
      <c r="K51" s="65" t="n">
        <f aca="false">IF(J51="#",IF(NETWORKDAYS($F$14,$F$14,Holidays!E:E)&lt;1,-1,0),I51+1)</f>
        <v>50</v>
      </c>
      <c r="L51" s="64"/>
      <c r="M51" s="65" t="n">
        <f aca="false">IF(L51="#",IF(NETWORKDAYS($F$14,$F$14,Holidays!G:G)&lt;1,-1,0),K51+1)</f>
        <v>51</v>
      </c>
      <c r="N51" s="64"/>
      <c r="O51" s="65" t="n">
        <f aca="false">IF(N51="#",IF(NETWORKDAYS($F$14,$F$14,Holidays!I:I)&lt;1,-1,0),M51+1)</f>
        <v>52</v>
      </c>
      <c r="P51" s="64"/>
      <c r="Q51" s="65" t="n">
        <f aca="false">IF(P51="#",IF(NETWORKDAYS($F$14,$F$14,Holidays!K:K)&lt;1,-1,0),O51+1)</f>
        <v>53</v>
      </c>
      <c r="R51" s="64"/>
      <c r="S51" s="65" t="n">
        <f aca="false">IF(R51="#",IF(NETWORKDAYS($F$14,$F$14,Holidays!M:M)&lt;1,-1,0),Q51+1)</f>
        <v>54</v>
      </c>
      <c r="T51" s="64"/>
      <c r="U51" s="65" t="n">
        <f aca="false">IF(T51="#",IF(NETWORKDAYS($F$14,$F$14,Holidays!O:O)&lt;1,-1,0),S51+1)</f>
        <v>55</v>
      </c>
      <c r="V51" s="64"/>
      <c r="W51" s="65" t="n">
        <f aca="false">IF(V51="#",IF(NETWORKDAYS($F$14,$F$14,Holidays!Q:Q)&lt;1,-1,0),U51+1)</f>
        <v>56</v>
      </c>
      <c r="X51" s="64"/>
      <c r="Y51" s="65" t="n">
        <f aca="false">IF(X51="#",IF(NETWORKDAYS($F$14,$F$14,Holidays!S:S)&lt;1,-1,0),W51+1)</f>
        <v>57</v>
      </c>
      <c r="Z51" s="64"/>
      <c r="AA51" s="65" t="n">
        <f aca="false">IF(Z51="#",IF(NETWORKDAYS($F$14,$F$14,Holidays!U:U)&lt;1,-1,0),Y51+1)</f>
        <v>58</v>
      </c>
      <c r="AB51" s="64"/>
      <c r="AC51" s="65" t="n">
        <f aca="false">IF(AB51="#",IF(NETWORKDAYS($F$14,$F$14,Holidays!W:W)&lt;1,-1,0),AA51+1)</f>
        <v>59</v>
      </c>
      <c r="AD51" s="64"/>
      <c r="AE51" s="65" t="n">
        <f aca="false">IF(AD51="#",IF(NETWORKDAYS($F$14,$F$14,Holidays!Y:Y)&lt;1,-1,0),AC51+1)</f>
        <v>60</v>
      </c>
      <c r="AF51" s="64"/>
      <c r="AG51" s="65" t="n">
        <f aca="false">IF(AF51="#",IF(NETWORKDAYS($F$14,$F$14,Holidays!AA:AA)&lt;1,-1,0),AE51+1)</f>
        <v>61</v>
      </c>
      <c r="AH51" s="64"/>
      <c r="AI51" s="65" t="n">
        <f aca="false">IF(AH51="#",IF(NETWORKDAYS($F$14,$F$14,Holidays!AC:AC)&lt;1,-1,0),AG51+1)</f>
        <v>62</v>
      </c>
      <c r="AJ51" s="64"/>
      <c r="AK51" s="65" t="n">
        <f aca="false">IF(AJ51="#",IF(NETWORKDAYS($F$14,$F$14,Holidays!AE:AE)&lt;1,-1,0),AI51+1)</f>
        <v>63</v>
      </c>
      <c r="AL51" s="64"/>
      <c r="AM51" s="65" t="n">
        <f aca="false">IF(AL51="#",IF(NETWORKDAYS($F$14,$F$14,Holidays!AG:AG)&lt;1,-1,0),AK51+1)</f>
        <v>64</v>
      </c>
      <c r="AN51" s="64"/>
      <c r="AO51" s="65" t="n">
        <f aca="false">IF(AN51="#",IF(NETWORKDAYS($F$14,$F$14,Holidays!AI:AI)&lt;1,-1,0),AM51+1)</f>
        <v>65</v>
      </c>
      <c r="AP51" s="64"/>
      <c r="AQ51" s="65" t="n">
        <f aca="false">IF(AP51="#",IF(NETWORKDAYS($F$14,$F$14,Holidays!AK:AK)&lt;1,-1,0),AO51+1)</f>
        <v>66</v>
      </c>
      <c r="AR51" s="64"/>
      <c r="AS51" s="65" t="n">
        <f aca="false">IF(AR51="#",IF(NETWORKDAYS($F$14,$F$14,Holidays!AM:AM)&lt;1,-1,0),AQ51+1)</f>
        <v>67</v>
      </c>
      <c r="AT51" s="64"/>
      <c r="AU51" s="65" t="n">
        <f aca="false">IF(AT51="#",IF(NETWORKDAYS($F$14,$F$14,Holidays!AO:AO)&lt;1,-1,0),AS51+1)</f>
        <v>68</v>
      </c>
      <c r="AV51" s="64"/>
      <c r="AW51" s="65" t="n">
        <f aca="false">IF(AV51="#",IF(NETWORKDAYS($F$14,$F$14,Holidays!AQ:AQ)&lt;1,-1,0),AU51+1)</f>
        <v>69</v>
      </c>
      <c r="AX51" s="64"/>
      <c r="AY51" s="65" t="n">
        <f aca="false">IF(AX51="#",IF(NETWORKDAYS($F$14,$F$14,Holidays!AS:AS)&lt;1,-1,0),AW51+1)</f>
        <v>70</v>
      </c>
      <c r="AZ51" s="64"/>
      <c r="BA51" s="65" t="n">
        <f aca="false">IF(AZ51="#",IF(NETWORKDAYS($F$14,$F$14,Holidays!AU:AU)&lt;1,-1,0),AY51+1)</f>
        <v>71</v>
      </c>
      <c r="BB51" s="64"/>
      <c r="BC51" s="65" t="n">
        <f aca="false">IF(BB51="#",IF(NETWORKDAYS($F$14,$F$14,Holidays!AW:AW)&lt;1,-1,0),BA51+1)</f>
        <v>72</v>
      </c>
      <c r="BD51" s="64"/>
      <c r="BE51" s="65" t="n">
        <f aca="false">IF(BD51="#",IF(NETWORKDAYS($F$14,$F$14,Holidays!AY:AY)&lt;1,-1,0),BC51+1)</f>
        <v>73</v>
      </c>
      <c r="BF51" s="64"/>
      <c r="BG51" s="65" t="n">
        <f aca="false">IF(BF51="#",IF(NETWORKDAYS($F$14,$F$14,Holidays!BA:BA)&lt;1,-1,0),BE51+1)</f>
        <v>74</v>
      </c>
      <c r="BH51" s="64"/>
      <c r="BI51" s="65" t="n">
        <f aca="false">IF(BH51="#",IF(NETWORKDAYS($F$14,$F$14,Holidays!BC:BC)&lt;1,-1,0),BG51+1)</f>
        <v>75</v>
      </c>
      <c r="BJ51" s="64"/>
      <c r="BK51" s="65" t="n">
        <f aca="false">IF(BJ51="#",IF(NETWORKDAYS($F$14,$F$14,Holidays!BE:BE)&lt;1,-1,0),BI51+1)</f>
        <v>76</v>
      </c>
      <c r="BL51" s="64"/>
      <c r="BM51" s="65" t="n">
        <f aca="false">IF(BL51="#",IF(NETWORKDAYS($F$14,$F$14,Holidays!BG:BG)&lt;1,-1,0),BK51+1)</f>
        <v>77</v>
      </c>
      <c r="BN51" s="64"/>
      <c r="BO51" s="65" t="n">
        <f aca="false">IF(BN51="#",IF(NETWORKDAYS($F$14,$F$14,Holidays!BI:BI)&lt;1,-1,0),BM51+1)</f>
        <v>78</v>
      </c>
      <c r="BP51" s="64"/>
      <c r="BQ51" s="65" t="n">
        <f aca="false">IF(BP51="#",IF(NETWORKDAYS($F$14,$F$14,Holidays!BK:BK)&lt;1,-1,0),BO51+1)</f>
        <v>79</v>
      </c>
      <c r="BR51" s="13"/>
      <c r="BS51" s="14"/>
    </row>
    <row r="52" customFormat="false" ht="16.5" hidden="false" customHeight="true" outlineLevel="0" collapsed="false">
      <c r="B52" s="40"/>
      <c r="C52" s="68" t="s">
        <v>30</v>
      </c>
      <c r="D52" s="62" t="s">
        <v>27</v>
      </c>
      <c r="E52" s="63" t="n">
        <v>48</v>
      </c>
      <c r="F52" s="64"/>
      <c r="G52" s="65" t="n">
        <f aca="false">IF(F52="#",IF(NETWORKDAYS($F$14,$F$14,Holidays!A:A)&lt;1,-1,0),E52+1)</f>
        <v>49</v>
      </c>
      <c r="H52" s="64"/>
      <c r="I52" s="65" t="n">
        <f aca="false">IF(H52="#",IF(NETWORKDAYS($F$14,$F$14,Holidays!C:C)&lt;1,-1,0),G52+1)</f>
        <v>50</v>
      </c>
      <c r="J52" s="64"/>
      <c r="K52" s="65" t="n">
        <f aca="false">IF(J52="#",IF(NETWORKDAYS($F$14,$F$14,Holidays!E:E)&lt;1,-1,0),I52+1)</f>
        <v>51</v>
      </c>
      <c r="L52" s="64"/>
      <c r="M52" s="65" t="n">
        <f aca="false">IF(L52="#",IF(NETWORKDAYS($F$14,$F$14,Holidays!G:G)&lt;1,-1,0),K52+1)</f>
        <v>52</v>
      </c>
      <c r="N52" s="64"/>
      <c r="O52" s="65" t="n">
        <f aca="false">IF(N52="#",IF(NETWORKDAYS($F$14,$F$14,Holidays!I:I)&lt;1,-1,0),M52+1)</f>
        <v>53</v>
      </c>
      <c r="P52" s="64"/>
      <c r="Q52" s="65" t="n">
        <f aca="false">IF(P52="#",IF(NETWORKDAYS($F$14,$F$14,Holidays!K:K)&lt;1,-1,0),O52+1)</f>
        <v>54</v>
      </c>
      <c r="R52" s="64"/>
      <c r="S52" s="65" t="n">
        <f aca="false">IF(R52="#",IF(NETWORKDAYS($F$14,$F$14,Holidays!M:M)&lt;1,-1,0),Q52+1)</f>
        <v>55</v>
      </c>
      <c r="T52" s="64"/>
      <c r="U52" s="65" t="n">
        <f aca="false">IF(T52="#",IF(NETWORKDAYS($F$14,$F$14,Holidays!O:O)&lt;1,-1,0),S52+1)</f>
        <v>56</v>
      </c>
      <c r="V52" s="64"/>
      <c r="W52" s="65" t="n">
        <f aca="false">IF(V52="#",IF(NETWORKDAYS($F$14,$F$14,Holidays!Q:Q)&lt;1,-1,0),U52+1)</f>
        <v>57</v>
      </c>
      <c r="X52" s="64"/>
      <c r="Y52" s="65" t="n">
        <f aca="false">IF(X52="#",IF(NETWORKDAYS($F$14,$F$14,Holidays!S:S)&lt;1,-1,0),W52+1)</f>
        <v>58</v>
      </c>
      <c r="Z52" s="64"/>
      <c r="AA52" s="65" t="n">
        <f aca="false">IF(Z52="#",IF(NETWORKDAYS($F$14,$F$14,Holidays!U:U)&lt;1,-1,0),Y52+1)</f>
        <v>59</v>
      </c>
      <c r="AB52" s="64"/>
      <c r="AC52" s="65" t="n">
        <f aca="false">IF(AB52="#",IF(NETWORKDAYS($F$14,$F$14,Holidays!W:W)&lt;1,-1,0),AA52+1)</f>
        <v>60</v>
      </c>
      <c r="AD52" s="64"/>
      <c r="AE52" s="65" t="n">
        <f aca="false">IF(AD52="#",IF(NETWORKDAYS($F$14,$F$14,Holidays!Y:Y)&lt;1,-1,0),AC52+1)</f>
        <v>61</v>
      </c>
      <c r="AF52" s="64"/>
      <c r="AG52" s="65" t="n">
        <f aca="false">IF(AF52="#",IF(NETWORKDAYS($F$14,$F$14,Holidays!AA:AA)&lt;1,-1,0),AE52+1)</f>
        <v>62</v>
      </c>
      <c r="AH52" s="64"/>
      <c r="AI52" s="65" t="n">
        <f aca="false">IF(AH52="#",IF(NETWORKDAYS($F$14,$F$14,Holidays!AC:AC)&lt;1,-1,0),AG52+1)</f>
        <v>63</v>
      </c>
      <c r="AJ52" s="64"/>
      <c r="AK52" s="65" t="n">
        <f aca="false">IF(AJ52="#",IF(NETWORKDAYS($F$14,$F$14,Holidays!AE:AE)&lt;1,-1,0),AI52+1)</f>
        <v>64</v>
      </c>
      <c r="AL52" s="64"/>
      <c r="AM52" s="65" t="n">
        <f aca="false">IF(AL52="#",IF(NETWORKDAYS($F$14,$F$14,Holidays!AG:AG)&lt;1,-1,0),AK52+1)</f>
        <v>65</v>
      </c>
      <c r="AN52" s="64"/>
      <c r="AO52" s="65" t="n">
        <f aca="false">IF(AN52="#",IF(NETWORKDAYS($F$14,$F$14,Holidays!AI:AI)&lt;1,-1,0),AM52+1)</f>
        <v>66</v>
      </c>
      <c r="AP52" s="64"/>
      <c r="AQ52" s="65" t="n">
        <f aca="false">IF(AP52="#",IF(NETWORKDAYS($F$14,$F$14,Holidays!AK:AK)&lt;1,-1,0),AO52+1)</f>
        <v>67</v>
      </c>
      <c r="AR52" s="64"/>
      <c r="AS52" s="65" t="n">
        <f aca="false">IF(AR52="#",IF(NETWORKDAYS($F$14,$F$14,Holidays!AM:AM)&lt;1,-1,0),AQ52+1)</f>
        <v>68</v>
      </c>
      <c r="AT52" s="64"/>
      <c r="AU52" s="65" t="n">
        <f aca="false">IF(AT52="#",IF(NETWORKDAYS($F$14,$F$14,Holidays!AO:AO)&lt;1,-1,0),AS52+1)</f>
        <v>69</v>
      </c>
      <c r="AV52" s="64"/>
      <c r="AW52" s="65" t="n">
        <f aca="false">IF(AV52="#",IF(NETWORKDAYS($F$14,$F$14,Holidays!AQ:AQ)&lt;1,-1,0),AU52+1)</f>
        <v>70</v>
      </c>
      <c r="AX52" s="64"/>
      <c r="AY52" s="65" t="n">
        <f aca="false">IF(AX52="#",IF(NETWORKDAYS($F$14,$F$14,Holidays!AS:AS)&lt;1,-1,0),AW52+1)</f>
        <v>71</v>
      </c>
      <c r="AZ52" s="64"/>
      <c r="BA52" s="65" t="n">
        <f aca="false">IF(AZ52="#",IF(NETWORKDAYS($F$14,$F$14,Holidays!AU:AU)&lt;1,-1,0),AY52+1)</f>
        <v>72</v>
      </c>
      <c r="BB52" s="64"/>
      <c r="BC52" s="65" t="n">
        <f aca="false">IF(BB52="#",IF(NETWORKDAYS($F$14,$F$14,Holidays!AW:AW)&lt;1,-1,0),BA52+1)</f>
        <v>73</v>
      </c>
      <c r="BD52" s="64"/>
      <c r="BE52" s="65" t="n">
        <f aca="false">IF(BD52="#",IF(NETWORKDAYS($F$14,$F$14,Holidays!AY:AY)&lt;1,-1,0),BC52+1)</f>
        <v>74</v>
      </c>
      <c r="BF52" s="64"/>
      <c r="BG52" s="65" t="n">
        <f aca="false">IF(BF52="#",IF(NETWORKDAYS($F$14,$F$14,Holidays!BA:BA)&lt;1,-1,0),BE52+1)</f>
        <v>75</v>
      </c>
      <c r="BH52" s="64"/>
      <c r="BI52" s="65" t="n">
        <f aca="false">IF(BH52="#",IF(NETWORKDAYS($F$14,$F$14,Holidays!BC:BC)&lt;1,-1,0),BG52+1)</f>
        <v>76</v>
      </c>
      <c r="BJ52" s="64"/>
      <c r="BK52" s="65" t="n">
        <f aca="false">IF(BJ52="#",IF(NETWORKDAYS($F$14,$F$14,Holidays!BE:BE)&lt;1,-1,0),BI52+1)</f>
        <v>77</v>
      </c>
      <c r="BL52" s="64"/>
      <c r="BM52" s="65" t="n">
        <f aca="false">IF(BL52="#",IF(NETWORKDAYS($F$14,$F$14,Holidays!BG:BG)&lt;1,-1,0),BK52+1)</f>
        <v>78</v>
      </c>
      <c r="BN52" s="64"/>
      <c r="BO52" s="65" t="n">
        <f aca="false">IF(BN52="#",IF(NETWORKDAYS($F$14,$F$14,Holidays!BI:BI)&lt;1,-1,0),BM52+1)</f>
        <v>79</v>
      </c>
      <c r="BP52" s="64"/>
      <c r="BQ52" s="65" t="n">
        <f aca="false">IF(BP52="#",IF(NETWORKDAYS($F$14,$F$14,Holidays!BK:BK)&lt;1,-1,0),BO52+1)</f>
        <v>80</v>
      </c>
      <c r="BR52" s="13"/>
      <c r="BS52" s="14"/>
    </row>
    <row r="53" customFormat="false" ht="16.5" hidden="false" customHeight="true" outlineLevel="0" collapsed="false">
      <c r="B53" s="40"/>
      <c r="C53" s="68" t="s">
        <v>30</v>
      </c>
      <c r="D53" s="62" t="s">
        <v>27</v>
      </c>
      <c r="E53" s="63" t="n">
        <v>19</v>
      </c>
      <c r="F53" s="64"/>
      <c r="G53" s="65" t="n">
        <f aca="false">IF(F53="#",IF(NETWORKDAYS($F$14,$F$14,Holidays!A:A)&lt;1,-1,0),E53+1)</f>
        <v>20</v>
      </c>
      <c r="H53" s="64"/>
      <c r="I53" s="65" t="n">
        <f aca="false">IF(H53="#",IF(NETWORKDAYS($F$14,$F$14,Holidays!C:C)&lt;1,-1,0),G53+1)</f>
        <v>21</v>
      </c>
      <c r="J53" s="64"/>
      <c r="K53" s="65" t="n">
        <f aca="false">IF(J53="#",IF(NETWORKDAYS($F$14,$F$14,Holidays!E:E)&lt;1,-1,0),I53+1)</f>
        <v>22</v>
      </c>
      <c r="L53" s="64"/>
      <c r="M53" s="65" t="n">
        <f aca="false">IF(L53="#",IF(NETWORKDAYS($F$14,$F$14,Holidays!G:G)&lt;1,-1,0),K53+1)</f>
        <v>23</v>
      </c>
      <c r="N53" s="64"/>
      <c r="O53" s="65" t="n">
        <f aca="false">IF(N53="#",IF(NETWORKDAYS($F$14,$F$14,Holidays!I:I)&lt;1,-1,0),M53+1)</f>
        <v>24</v>
      </c>
      <c r="P53" s="64"/>
      <c r="Q53" s="65" t="n">
        <f aca="false">IF(P53="#",IF(NETWORKDAYS($F$14,$F$14,Holidays!K:K)&lt;1,-1,0),O53+1)</f>
        <v>25</v>
      </c>
      <c r="R53" s="64"/>
      <c r="S53" s="65" t="n">
        <f aca="false">IF(R53="#",IF(NETWORKDAYS($F$14,$F$14,Holidays!M:M)&lt;1,-1,0),Q53+1)</f>
        <v>26</v>
      </c>
      <c r="T53" s="64"/>
      <c r="U53" s="65" t="n">
        <f aca="false">IF(T53="#",IF(NETWORKDAYS($F$14,$F$14,Holidays!O:O)&lt;1,-1,0),S53+1)</f>
        <v>27</v>
      </c>
      <c r="V53" s="64"/>
      <c r="W53" s="65" t="n">
        <f aca="false">IF(V53="#",IF(NETWORKDAYS($F$14,$F$14,Holidays!Q:Q)&lt;1,-1,0),U53+1)</f>
        <v>28</v>
      </c>
      <c r="X53" s="64"/>
      <c r="Y53" s="65" t="n">
        <f aca="false">IF(X53="#",IF(NETWORKDAYS($F$14,$F$14,Holidays!S:S)&lt;1,-1,0),W53+1)</f>
        <v>29</v>
      </c>
      <c r="Z53" s="64"/>
      <c r="AA53" s="65" t="n">
        <f aca="false">IF(Z53="#",IF(NETWORKDAYS($F$14,$F$14,Holidays!U:U)&lt;1,-1,0),Y53+1)</f>
        <v>30</v>
      </c>
      <c r="AB53" s="64"/>
      <c r="AC53" s="65" t="n">
        <f aca="false">IF(AB53="#",IF(NETWORKDAYS($F$14,$F$14,Holidays!W:W)&lt;1,-1,0),AA53+1)</f>
        <v>31</v>
      </c>
      <c r="AD53" s="64"/>
      <c r="AE53" s="65" t="n">
        <f aca="false">IF(AD53="#",IF(NETWORKDAYS($F$14,$F$14,Holidays!Y:Y)&lt;1,-1,0),AC53+1)</f>
        <v>32</v>
      </c>
      <c r="AF53" s="64"/>
      <c r="AG53" s="65" t="n">
        <f aca="false">IF(AF53="#",IF(NETWORKDAYS($F$14,$F$14,Holidays!AA:AA)&lt;1,-1,0),AE53+1)</f>
        <v>33</v>
      </c>
      <c r="AH53" s="64"/>
      <c r="AI53" s="65" t="n">
        <f aca="false">IF(AH53="#",IF(NETWORKDAYS($F$14,$F$14,Holidays!AC:AC)&lt;1,-1,0),AG53+1)</f>
        <v>34</v>
      </c>
      <c r="AJ53" s="64"/>
      <c r="AK53" s="65" t="n">
        <f aca="false">IF(AJ53="#",IF(NETWORKDAYS($F$14,$F$14,Holidays!AE:AE)&lt;1,-1,0),AI53+1)</f>
        <v>35</v>
      </c>
      <c r="AL53" s="64"/>
      <c r="AM53" s="65" t="n">
        <f aca="false">IF(AL53="#",IF(NETWORKDAYS($F$14,$F$14,Holidays!AG:AG)&lt;1,-1,0),AK53+1)</f>
        <v>36</v>
      </c>
      <c r="AN53" s="64"/>
      <c r="AO53" s="65" t="n">
        <f aca="false">IF(AN53="#",IF(NETWORKDAYS($F$14,$F$14,Holidays!AI:AI)&lt;1,-1,0),AM53+1)</f>
        <v>37</v>
      </c>
      <c r="AP53" s="64"/>
      <c r="AQ53" s="65" t="n">
        <f aca="false">IF(AP53="#",IF(NETWORKDAYS($F$14,$F$14,Holidays!AK:AK)&lt;1,-1,0),AO53+1)</f>
        <v>38</v>
      </c>
      <c r="AR53" s="64"/>
      <c r="AS53" s="65" t="n">
        <f aca="false">IF(AR53="#",IF(NETWORKDAYS($F$14,$F$14,Holidays!AM:AM)&lt;1,-1,0),AQ53+1)</f>
        <v>39</v>
      </c>
      <c r="AT53" s="64"/>
      <c r="AU53" s="65" t="n">
        <f aca="false">IF(AT53="#",IF(NETWORKDAYS($F$14,$F$14,Holidays!AO:AO)&lt;1,-1,0),AS53+1)</f>
        <v>40</v>
      </c>
      <c r="AV53" s="64"/>
      <c r="AW53" s="65" t="n">
        <f aca="false">IF(AV53="#",IF(NETWORKDAYS($F$14,$F$14,Holidays!AQ:AQ)&lt;1,-1,0),AU53+1)</f>
        <v>41</v>
      </c>
      <c r="AX53" s="64"/>
      <c r="AY53" s="65" t="n">
        <f aca="false">IF(AX53="#",IF(NETWORKDAYS($F$14,$F$14,Holidays!AS:AS)&lt;1,-1,0),AW53+1)</f>
        <v>42</v>
      </c>
      <c r="AZ53" s="64"/>
      <c r="BA53" s="65" t="n">
        <f aca="false">IF(AZ53="#",IF(NETWORKDAYS($F$14,$F$14,Holidays!AU:AU)&lt;1,-1,0),AY53+1)</f>
        <v>43</v>
      </c>
      <c r="BB53" s="64"/>
      <c r="BC53" s="65" t="n">
        <f aca="false">IF(BB53="#",IF(NETWORKDAYS($F$14,$F$14,Holidays!AW:AW)&lt;1,-1,0),BA53+1)</f>
        <v>44</v>
      </c>
      <c r="BD53" s="64"/>
      <c r="BE53" s="65" t="n">
        <f aca="false">IF(BD53="#",IF(NETWORKDAYS($F$14,$F$14,Holidays!AY:AY)&lt;1,-1,0),BC53+1)</f>
        <v>45</v>
      </c>
      <c r="BF53" s="64"/>
      <c r="BG53" s="65" t="n">
        <f aca="false">IF(BF53="#",IF(NETWORKDAYS($F$14,$F$14,Holidays!BA:BA)&lt;1,-1,0),BE53+1)</f>
        <v>46</v>
      </c>
      <c r="BH53" s="64"/>
      <c r="BI53" s="65" t="n">
        <f aca="false">IF(BH53="#",IF(NETWORKDAYS($F$14,$F$14,Holidays!BC:BC)&lt;1,-1,0),BG53+1)</f>
        <v>47</v>
      </c>
      <c r="BJ53" s="64"/>
      <c r="BK53" s="65" t="n">
        <f aca="false">IF(BJ53="#",IF(NETWORKDAYS($F$14,$F$14,Holidays!BE:BE)&lt;1,-1,0),BI53+1)</f>
        <v>48</v>
      </c>
      <c r="BL53" s="64"/>
      <c r="BM53" s="65" t="n">
        <f aca="false">IF(BL53="#",IF(NETWORKDAYS($F$14,$F$14,Holidays!BG:BG)&lt;1,-1,0),BK53+1)</f>
        <v>49</v>
      </c>
      <c r="BN53" s="64"/>
      <c r="BO53" s="65" t="n">
        <f aca="false">IF(BN53="#",IF(NETWORKDAYS($F$14,$F$14,Holidays!BI:BI)&lt;1,-1,0),BM53+1)</f>
        <v>50</v>
      </c>
      <c r="BP53" s="64"/>
      <c r="BQ53" s="65" t="n">
        <f aca="false">IF(BP53="#",IF(NETWORKDAYS($F$14,$F$14,Holidays!BK:BK)&lt;1,-1,0),BO53+1)</f>
        <v>51</v>
      </c>
      <c r="BR53" s="13"/>
      <c r="BS53" s="14"/>
    </row>
    <row r="54" customFormat="false" ht="16.5" hidden="false" customHeight="true" outlineLevel="0" collapsed="false">
      <c r="B54" s="40"/>
      <c r="C54" s="68" t="s">
        <v>30</v>
      </c>
      <c r="D54" s="62" t="s">
        <v>27</v>
      </c>
      <c r="E54" s="63" t="n">
        <v>19</v>
      </c>
      <c r="F54" s="64"/>
      <c r="G54" s="65" t="n">
        <f aca="false">IF(F54="#",IF(NETWORKDAYS($F$14,$F$14,Holidays!A:A)&lt;1,-1,0),E54+1)</f>
        <v>20</v>
      </c>
      <c r="H54" s="64"/>
      <c r="I54" s="65" t="n">
        <f aca="false">IF(H54="#",IF(NETWORKDAYS($F$14,$F$14,Holidays!C:C)&lt;1,-1,0),G54+1)</f>
        <v>21</v>
      </c>
      <c r="J54" s="64"/>
      <c r="K54" s="65" t="n">
        <f aca="false">IF(J54="#",IF(NETWORKDAYS($F$14,$F$14,Holidays!E:E)&lt;1,-1,0),I54+1)</f>
        <v>22</v>
      </c>
      <c r="L54" s="64"/>
      <c r="M54" s="65" t="n">
        <f aca="false">IF(L54="#",IF(NETWORKDAYS($F$14,$F$14,Holidays!G:G)&lt;1,-1,0),K54+1)</f>
        <v>23</v>
      </c>
      <c r="N54" s="64"/>
      <c r="O54" s="65" t="n">
        <f aca="false">IF(N54="#",IF(NETWORKDAYS($F$14,$F$14,Holidays!I:I)&lt;1,-1,0),M54+1)</f>
        <v>24</v>
      </c>
      <c r="P54" s="64"/>
      <c r="Q54" s="65" t="n">
        <f aca="false">IF(P54="#",IF(NETWORKDAYS($F$14,$F$14,Holidays!K:K)&lt;1,-1,0),O54+1)</f>
        <v>25</v>
      </c>
      <c r="R54" s="64"/>
      <c r="S54" s="65" t="n">
        <f aca="false">IF(R54="#",IF(NETWORKDAYS($F$14,$F$14,Holidays!M:M)&lt;1,-1,0),Q54+1)</f>
        <v>26</v>
      </c>
      <c r="T54" s="64"/>
      <c r="U54" s="65" t="n">
        <f aca="false">IF(T54="#",IF(NETWORKDAYS($F$14,$F$14,Holidays!O:O)&lt;1,-1,0),S54+1)</f>
        <v>27</v>
      </c>
      <c r="V54" s="64"/>
      <c r="W54" s="65" t="n">
        <f aca="false">IF(V54="#",IF(NETWORKDAYS($F$14,$F$14,Holidays!Q:Q)&lt;1,-1,0),U54+1)</f>
        <v>28</v>
      </c>
      <c r="X54" s="64"/>
      <c r="Y54" s="65" t="n">
        <f aca="false">IF(X54="#",IF(NETWORKDAYS($F$14,$F$14,Holidays!S:S)&lt;1,-1,0),W54+1)</f>
        <v>29</v>
      </c>
      <c r="Z54" s="64"/>
      <c r="AA54" s="65" t="n">
        <f aca="false">IF(Z54="#",IF(NETWORKDAYS($F$14,$F$14,Holidays!U:U)&lt;1,-1,0),Y54+1)</f>
        <v>30</v>
      </c>
      <c r="AB54" s="64"/>
      <c r="AC54" s="65" t="n">
        <f aca="false">IF(AB54="#",IF(NETWORKDAYS($F$14,$F$14,Holidays!W:W)&lt;1,-1,0),AA54+1)</f>
        <v>31</v>
      </c>
      <c r="AD54" s="64"/>
      <c r="AE54" s="65" t="n">
        <f aca="false">IF(AD54="#",IF(NETWORKDAYS($F$14,$F$14,Holidays!Y:Y)&lt;1,-1,0),AC54+1)</f>
        <v>32</v>
      </c>
      <c r="AF54" s="64"/>
      <c r="AG54" s="65" t="n">
        <f aca="false">IF(AF54="#",IF(NETWORKDAYS($F$14,$F$14,Holidays!AA:AA)&lt;1,-1,0),AE54+1)</f>
        <v>33</v>
      </c>
      <c r="AH54" s="64"/>
      <c r="AI54" s="65" t="n">
        <f aca="false">IF(AH54="#",IF(NETWORKDAYS($F$14,$F$14,Holidays!AC:AC)&lt;1,-1,0),AG54+1)</f>
        <v>34</v>
      </c>
      <c r="AJ54" s="64"/>
      <c r="AK54" s="65" t="n">
        <f aca="false">IF(AJ54="#",IF(NETWORKDAYS($F$14,$F$14,Holidays!AE:AE)&lt;1,-1,0),AI54+1)</f>
        <v>35</v>
      </c>
      <c r="AL54" s="64"/>
      <c r="AM54" s="65" t="n">
        <f aca="false">IF(AL54="#",IF(NETWORKDAYS($F$14,$F$14,Holidays!AG:AG)&lt;1,-1,0),AK54+1)</f>
        <v>36</v>
      </c>
      <c r="AN54" s="64"/>
      <c r="AO54" s="65" t="n">
        <f aca="false">IF(AN54="#",IF(NETWORKDAYS($F$14,$F$14,Holidays!AI:AI)&lt;1,-1,0),AM54+1)</f>
        <v>37</v>
      </c>
      <c r="AP54" s="64"/>
      <c r="AQ54" s="65" t="n">
        <f aca="false">IF(AP54="#",IF(NETWORKDAYS($F$14,$F$14,Holidays!AK:AK)&lt;1,-1,0),AO54+1)</f>
        <v>38</v>
      </c>
      <c r="AR54" s="64"/>
      <c r="AS54" s="65" t="n">
        <f aca="false">IF(AR54="#",IF(NETWORKDAYS($F$14,$F$14,Holidays!AM:AM)&lt;1,-1,0),AQ54+1)</f>
        <v>39</v>
      </c>
      <c r="AT54" s="64"/>
      <c r="AU54" s="65" t="n">
        <f aca="false">IF(AT54="#",IF(NETWORKDAYS($F$14,$F$14,Holidays!AO:AO)&lt;1,-1,0),AS54+1)</f>
        <v>40</v>
      </c>
      <c r="AV54" s="64"/>
      <c r="AW54" s="65" t="n">
        <f aca="false">IF(AV54="#",IF(NETWORKDAYS($F$14,$F$14,Holidays!AQ:AQ)&lt;1,-1,0),AU54+1)</f>
        <v>41</v>
      </c>
      <c r="AX54" s="64"/>
      <c r="AY54" s="65" t="n">
        <f aca="false">IF(AX54="#",IF(NETWORKDAYS($F$14,$F$14,Holidays!AS:AS)&lt;1,-1,0),AW54+1)</f>
        <v>42</v>
      </c>
      <c r="AZ54" s="64"/>
      <c r="BA54" s="65" t="n">
        <f aca="false">IF(AZ54="#",IF(NETWORKDAYS($F$14,$F$14,Holidays!AU:AU)&lt;1,-1,0),AY54+1)</f>
        <v>43</v>
      </c>
      <c r="BB54" s="64"/>
      <c r="BC54" s="65" t="n">
        <f aca="false">IF(BB54="#",IF(NETWORKDAYS($F$14,$F$14,Holidays!AW:AW)&lt;1,-1,0),BA54+1)</f>
        <v>44</v>
      </c>
      <c r="BD54" s="64"/>
      <c r="BE54" s="65" t="n">
        <f aca="false">IF(BD54="#",IF(NETWORKDAYS($F$14,$F$14,Holidays!AY:AY)&lt;1,-1,0),BC54+1)</f>
        <v>45</v>
      </c>
      <c r="BF54" s="64"/>
      <c r="BG54" s="65" t="n">
        <f aca="false">IF(BF54="#",IF(NETWORKDAYS($F$14,$F$14,Holidays!BA:BA)&lt;1,-1,0),BE54+1)</f>
        <v>46</v>
      </c>
      <c r="BH54" s="64"/>
      <c r="BI54" s="65" t="n">
        <f aca="false">IF(BH54="#",IF(NETWORKDAYS($F$14,$F$14,Holidays!BC:BC)&lt;1,-1,0),BG54+1)</f>
        <v>47</v>
      </c>
      <c r="BJ54" s="64"/>
      <c r="BK54" s="65" t="n">
        <f aca="false">IF(BJ54="#",IF(NETWORKDAYS($F$14,$F$14,Holidays!BE:BE)&lt;1,-1,0),BI54+1)</f>
        <v>48</v>
      </c>
      <c r="BL54" s="64"/>
      <c r="BM54" s="65" t="n">
        <f aca="false">IF(BL54="#",IF(NETWORKDAYS($F$14,$F$14,Holidays!BG:BG)&lt;1,-1,0),BK54+1)</f>
        <v>49</v>
      </c>
      <c r="BN54" s="64"/>
      <c r="BO54" s="65" t="n">
        <f aca="false">IF(BN54="#",IF(NETWORKDAYS($F$14,$F$14,Holidays!BI:BI)&lt;1,-1,0),BM54+1)</f>
        <v>50</v>
      </c>
      <c r="BP54" s="64"/>
      <c r="BQ54" s="65" t="n">
        <f aca="false">IF(BP54="#",IF(NETWORKDAYS($F$14,$F$14,Holidays!BK:BK)&lt;1,-1,0),BO54+1)</f>
        <v>51</v>
      </c>
      <c r="BR54" s="13"/>
      <c r="BS54" s="14"/>
    </row>
    <row r="55" customFormat="false" ht="16.5" hidden="false" customHeight="true" outlineLevel="0" collapsed="false">
      <c r="B55" s="40"/>
      <c r="C55" s="68" t="s">
        <v>30</v>
      </c>
      <c r="D55" s="62" t="s">
        <v>27</v>
      </c>
      <c r="E55" s="63" t="n">
        <v>13</v>
      </c>
      <c r="F55" s="64"/>
      <c r="G55" s="65" t="n">
        <f aca="false">IF(F55="#",IF(NETWORKDAYS($F$14,$F$14,Holidays!A:A)&lt;1,-1,0),E55+1)</f>
        <v>14</v>
      </c>
      <c r="H55" s="64"/>
      <c r="I55" s="65" t="n">
        <f aca="false">IF(H55="#",IF(NETWORKDAYS($F$14,$F$14,Holidays!C:C)&lt;1,-1,0),G55+1)</f>
        <v>15</v>
      </c>
      <c r="J55" s="64"/>
      <c r="K55" s="65" t="n">
        <f aca="false">IF(J55="#",IF(NETWORKDAYS($F$14,$F$14,Holidays!E:E)&lt;1,-1,0),I55+1)</f>
        <v>16</v>
      </c>
      <c r="L55" s="64"/>
      <c r="M55" s="65" t="n">
        <f aca="false">IF(L55="#",IF(NETWORKDAYS($F$14,$F$14,Holidays!G:G)&lt;1,-1,0),K55+1)</f>
        <v>17</v>
      </c>
      <c r="N55" s="64"/>
      <c r="O55" s="65" t="n">
        <f aca="false">IF(N55="#",IF(NETWORKDAYS($F$14,$F$14,Holidays!I:I)&lt;1,-1,0),M55+1)</f>
        <v>18</v>
      </c>
      <c r="P55" s="64"/>
      <c r="Q55" s="65" t="n">
        <f aca="false">IF(P55="#",IF(NETWORKDAYS($F$14,$F$14,Holidays!K:K)&lt;1,-1,0),O55+1)</f>
        <v>19</v>
      </c>
      <c r="R55" s="64"/>
      <c r="S55" s="65" t="n">
        <f aca="false">IF(R55="#",IF(NETWORKDAYS($F$14,$F$14,Holidays!M:M)&lt;1,-1,0),Q55+1)</f>
        <v>20</v>
      </c>
      <c r="T55" s="64"/>
      <c r="U55" s="65" t="n">
        <f aca="false">IF(T55="#",IF(NETWORKDAYS($F$14,$F$14,Holidays!O:O)&lt;1,-1,0),S55+1)</f>
        <v>21</v>
      </c>
      <c r="V55" s="64"/>
      <c r="W55" s="65" t="n">
        <f aca="false">IF(V55="#",IF(NETWORKDAYS($F$14,$F$14,Holidays!Q:Q)&lt;1,-1,0),U55+1)</f>
        <v>22</v>
      </c>
      <c r="X55" s="64"/>
      <c r="Y55" s="65" t="n">
        <f aca="false">IF(X55="#",IF(NETWORKDAYS($F$14,$F$14,Holidays!S:S)&lt;1,-1,0),W55+1)</f>
        <v>23</v>
      </c>
      <c r="Z55" s="64"/>
      <c r="AA55" s="65" t="n">
        <f aca="false">IF(Z55="#",IF(NETWORKDAYS($F$14,$F$14,Holidays!U:U)&lt;1,-1,0),Y55+1)</f>
        <v>24</v>
      </c>
      <c r="AB55" s="64"/>
      <c r="AC55" s="65" t="n">
        <f aca="false">IF(AB55="#",IF(NETWORKDAYS($F$14,$F$14,Holidays!W:W)&lt;1,-1,0),AA55+1)</f>
        <v>25</v>
      </c>
      <c r="AD55" s="64"/>
      <c r="AE55" s="65" t="n">
        <f aca="false">IF(AD55="#",IF(NETWORKDAYS($F$14,$F$14,Holidays!Y:Y)&lt;1,-1,0),AC55+1)</f>
        <v>26</v>
      </c>
      <c r="AF55" s="64"/>
      <c r="AG55" s="65" t="n">
        <f aca="false">IF(AF55="#",IF(NETWORKDAYS($F$14,$F$14,Holidays!AA:AA)&lt;1,-1,0),AE55+1)</f>
        <v>27</v>
      </c>
      <c r="AH55" s="64"/>
      <c r="AI55" s="65" t="n">
        <f aca="false">IF(AH55="#",IF(NETWORKDAYS($F$14,$F$14,Holidays!AC:AC)&lt;1,-1,0),AG55+1)</f>
        <v>28</v>
      </c>
      <c r="AJ55" s="64"/>
      <c r="AK55" s="65" t="n">
        <f aca="false">IF(AJ55="#",IF(NETWORKDAYS($F$14,$F$14,Holidays!AE:AE)&lt;1,-1,0),AI55+1)</f>
        <v>29</v>
      </c>
      <c r="AL55" s="64"/>
      <c r="AM55" s="65" t="n">
        <f aca="false">IF(AL55="#",IF(NETWORKDAYS($F$14,$F$14,Holidays!AG:AG)&lt;1,-1,0),AK55+1)</f>
        <v>30</v>
      </c>
      <c r="AN55" s="64"/>
      <c r="AO55" s="65" t="n">
        <f aca="false">IF(AN55="#",IF(NETWORKDAYS($F$14,$F$14,Holidays!AI:AI)&lt;1,-1,0),AM55+1)</f>
        <v>31</v>
      </c>
      <c r="AP55" s="64"/>
      <c r="AQ55" s="65" t="n">
        <f aca="false">IF(AP55="#",IF(NETWORKDAYS($F$14,$F$14,Holidays!AK:AK)&lt;1,-1,0),AO55+1)</f>
        <v>32</v>
      </c>
      <c r="AR55" s="64"/>
      <c r="AS55" s="65" t="n">
        <f aca="false">IF(AR55="#",IF(NETWORKDAYS($F$14,$F$14,Holidays!AM:AM)&lt;1,-1,0),AQ55+1)</f>
        <v>33</v>
      </c>
      <c r="AT55" s="64"/>
      <c r="AU55" s="65" t="n">
        <f aca="false">IF(AT55="#",IF(NETWORKDAYS($F$14,$F$14,Holidays!AO:AO)&lt;1,-1,0),AS55+1)</f>
        <v>34</v>
      </c>
      <c r="AV55" s="64"/>
      <c r="AW55" s="65" t="n">
        <f aca="false">IF(AV55="#",IF(NETWORKDAYS($F$14,$F$14,Holidays!AQ:AQ)&lt;1,-1,0),AU55+1)</f>
        <v>35</v>
      </c>
      <c r="AX55" s="64"/>
      <c r="AY55" s="65" t="n">
        <f aca="false">IF(AX55="#",IF(NETWORKDAYS($F$14,$F$14,Holidays!AS:AS)&lt;1,-1,0),AW55+1)</f>
        <v>36</v>
      </c>
      <c r="AZ55" s="64"/>
      <c r="BA55" s="65" t="n">
        <f aca="false">IF(AZ55="#",IF(NETWORKDAYS($F$14,$F$14,Holidays!AU:AU)&lt;1,-1,0),AY55+1)</f>
        <v>37</v>
      </c>
      <c r="BB55" s="64"/>
      <c r="BC55" s="65" t="n">
        <f aca="false">IF(BB55="#",IF(NETWORKDAYS($F$14,$F$14,Holidays!AW:AW)&lt;1,-1,0),BA55+1)</f>
        <v>38</v>
      </c>
      <c r="BD55" s="64"/>
      <c r="BE55" s="65" t="n">
        <f aca="false">IF(BD55="#",IF(NETWORKDAYS($F$14,$F$14,Holidays!AY:AY)&lt;1,-1,0),BC55+1)</f>
        <v>39</v>
      </c>
      <c r="BF55" s="64"/>
      <c r="BG55" s="65" t="n">
        <f aca="false">IF(BF55="#",IF(NETWORKDAYS($F$14,$F$14,Holidays!BA:BA)&lt;1,-1,0),BE55+1)</f>
        <v>40</v>
      </c>
      <c r="BH55" s="64"/>
      <c r="BI55" s="65" t="n">
        <f aca="false">IF(BH55="#",IF(NETWORKDAYS($F$14,$F$14,Holidays!BC:BC)&lt;1,-1,0),BG55+1)</f>
        <v>41</v>
      </c>
      <c r="BJ55" s="64"/>
      <c r="BK55" s="65" t="n">
        <f aca="false">IF(BJ55="#",IF(NETWORKDAYS($F$14,$F$14,Holidays!BE:BE)&lt;1,-1,0),BI55+1)</f>
        <v>42</v>
      </c>
      <c r="BL55" s="64"/>
      <c r="BM55" s="65" t="n">
        <f aca="false">IF(BL55="#",IF(NETWORKDAYS($F$14,$F$14,Holidays!BG:BG)&lt;1,-1,0),BK55+1)</f>
        <v>43</v>
      </c>
      <c r="BN55" s="64"/>
      <c r="BO55" s="65" t="n">
        <f aca="false">IF(BN55="#",IF(NETWORKDAYS($F$14,$F$14,Holidays!BI:BI)&lt;1,-1,0),BM55+1)</f>
        <v>44</v>
      </c>
      <c r="BP55" s="64"/>
      <c r="BQ55" s="65" t="n">
        <f aca="false">IF(BP55="#",IF(NETWORKDAYS($F$14,$F$14,Holidays!BK:BK)&lt;1,-1,0),BO55+1)</f>
        <v>45</v>
      </c>
      <c r="BR55" s="13"/>
      <c r="BS55" s="14"/>
    </row>
    <row r="56" customFormat="false" ht="16.5" hidden="false" customHeight="true" outlineLevel="0" collapsed="false">
      <c r="B56" s="40"/>
      <c r="C56" s="68" t="s">
        <v>30</v>
      </c>
      <c r="D56" s="62" t="s">
        <v>27</v>
      </c>
      <c r="E56" s="63" t="n">
        <v>12</v>
      </c>
      <c r="F56" s="64"/>
      <c r="G56" s="65" t="n">
        <f aca="false">IF(F56="#",IF(NETWORKDAYS($F$14,$F$14,Holidays!A:A)&lt;1,-1,0),E56+1)</f>
        <v>13</v>
      </c>
      <c r="H56" s="64"/>
      <c r="I56" s="65" t="n">
        <f aca="false">IF(H56="#",IF(NETWORKDAYS($F$14,$F$14,Holidays!C:C)&lt;1,-1,0),G56+1)</f>
        <v>14</v>
      </c>
      <c r="J56" s="64"/>
      <c r="K56" s="65" t="n">
        <f aca="false">IF(J56="#",IF(NETWORKDAYS($F$14,$F$14,Holidays!E:E)&lt;1,-1,0),I56+1)</f>
        <v>15</v>
      </c>
      <c r="L56" s="64"/>
      <c r="M56" s="65" t="n">
        <f aca="false">IF(L56="#",IF(NETWORKDAYS($F$14,$F$14,Holidays!G:G)&lt;1,-1,0),K56+1)</f>
        <v>16</v>
      </c>
      <c r="N56" s="64"/>
      <c r="O56" s="65" t="n">
        <f aca="false">IF(N56="#",IF(NETWORKDAYS($F$14,$F$14,Holidays!I:I)&lt;1,-1,0),M56+1)</f>
        <v>17</v>
      </c>
      <c r="P56" s="64"/>
      <c r="Q56" s="65" t="n">
        <f aca="false">IF(P56="#",IF(NETWORKDAYS($F$14,$F$14,Holidays!K:K)&lt;1,-1,0),O56+1)</f>
        <v>18</v>
      </c>
      <c r="R56" s="64"/>
      <c r="S56" s="65" t="n">
        <f aca="false">IF(R56="#",IF(NETWORKDAYS($F$14,$F$14,Holidays!M:M)&lt;1,-1,0),Q56+1)</f>
        <v>19</v>
      </c>
      <c r="T56" s="64"/>
      <c r="U56" s="65" t="n">
        <f aca="false">IF(T56="#",IF(NETWORKDAYS($F$14,$F$14,Holidays!O:O)&lt;1,-1,0),S56+1)</f>
        <v>20</v>
      </c>
      <c r="V56" s="64"/>
      <c r="W56" s="65" t="n">
        <f aca="false">IF(V56="#",IF(NETWORKDAYS($F$14,$F$14,Holidays!Q:Q)&lt;1,-1,0),U56+1)</f>
        <v>21</v>
      </c>
      <c r="X56" s="64"/>
      <c r="Y56" s="65" t="n">
        <f aca="false">IF(X56="#",IF(NETWORKDAYS($F$14,$F$14,Holidays!S:S)&lt;1,-1,0),W56+1)</f>
        <v>22</v>
      </c>
      <c r="Z56" s="64"/>
      <c r="AA56" s="65" t="n">
        <f aca="false">IF(Z56="#",IF(NETWORKDAYS($F$14,$F$14,Holidays!U:U)&lt;1,-1,0),Y56+1)</f>
        <v>23</v>
      </c>
      <c r="AB56" s="64"/>
      <c r="AC56" s="65" t="n">
        <f aca="false">IF(AB56="#",IF(NETWORKDAYS($F$14,$F$14,Holidays!W:W)&lt;1,-1,0),AA56+1)</f>
        <v>24</v>
      </c>
      <c r="AD56" s="64"/>
      <c r="AE56" s="65" t="n">
        <f aca="false">IF(AD56="#",IF(NETWORKDAYS($F$14,$F$14,Holidays!Y:Y)&lt;1,-1,0),AC56+1)</f>
        <v>25</v>
      </c>
      <c r="AF56" s="64"/>
      <c r="AG56" s="65" t="n">
        <f aca="false">IF(AF56="#",IF(NETWORKDAYS($F$14,$F$14,Holidays!AA:AA)&lt;1,-1,0),AE56+1)</f>
        <v>26</v>
      </c>
      <c r="AH56" s="64"/>
      <c r="AI56" s="65" t="n">
        <f aca="false">IF(AH56="#",IF(NETWORKDAYS($F$14,$F$14,Holidays!AC:AC)&lt;1,-1,0),AG56+1)</f>
        <v>27</v>
      </c>
      <c r="AJ56" s="64"/>
      <c r="AK56" s="65" t="n">
        <f aca="false">IF(AJ56="#",IF(NETWORKDAYS($F$14,$F$14,Holidays!AE:AE)&lt;1,-1,0),AI56+1)</f>
        <v>28</v>
      </c>
      <c r="AL56" s="64"/>
      <c r="AM56" s="65" t="n">
        <f aca="false">IF(AL56="#",IF(NETWORKDAYS($F$14,$F$14,Holidays!AG:AG)&lt;1,-1,0),AK56+1)</f>
        <v>29</v>
      </c>
      <c r="AN56" s="64"/>
      <c r="AO56" s="65" t="n">
        <f aca="false">IF(AN56="#",IF(NETWORKDAYS($F$14,$F$14,Holidays!AI:AI)&lt;1,-1,0),AM56+1)</f>
        <v>30</v>
      </c>
      <c r="AP56" s="64"/>
      <c r="AQ56" s="65" t="n">
        <f aca="false">IF(AP56="#",IF(NETWORKDAYS($F$14,$F$14,Holidays!AK:AK)&lt;1,-1,0),AO56+1)</f>
        <v>31</v>
      </c>
      <c r="AR56" s="64"/>
      <c r="AS56" s="65" t="n">
        <f aca="false">IF(AR56="#",IF(NETWORKDAYS($F$14,$F$14,Holidays!AM:AM)&lt;1,-1,0),AQ56+1)</f>
        <v>32</v>
      </c>
      <c r="AT56" s="64"/>
      <c r="AU56" s="65" t="n">
        <f aca="false">IF(AT56="#",IF(NETWORKDAYS($F$14,$F$14,Holidays!AO:AO)&lt;1,-1,0),AS56+1)</f>
        <v>33</v>
      </c>
      <c r="AV56" s="64"/>
      <c r="AW56" s="65" t="n">
        <f aca="false">IF(AV56="#",IF(NETWORKDAYS($F$14,$F$14,Holidays!AQ:AQ)&lt;1,-1,0),AU56+1)</f>
        <v>34</v>
      </c>
      <c r="AX56" s="64"/>
      <c r="AY56" s="65" t="n">
        <f aca="false">IF(AX56="#",IF(NETWORKDAYS($F$14,$F$14,Holidays!AS:AS)&lt;1,-1,0),AW56+1)</f>
        <v>35</v>
      </c>
      <c r="AZ56" s="64"/>
      <c r="BA56" s="65" t="n">
        <f aca="false">IF(AZ56="#",IF(NETWORKDAYS($F$14,$F$14,Holidays!AU:AU)&lt;1,-1,0),AY56+1)</f>
        <v>36</v>
      </c>
      <c r="BB56" s="64"/>
      <c r="BC56" s="65" t="n">
        <f aca="false">IF(BB56="#",IF(NETWORKDAYS($F$14,$F$14,Holidays!AW:AW)&lt;1,-1,0),BA56+1)</f>
        <v>37</v>
      </c>
      <c r="BD56" s="64"/>
      <c r="BE56" s="65" t="n">
        <f aca="false">IF(BD56="#",IF(NETWORKDAYS($F$14,$F$14,Holidays!AY:AY)&lt;1,-1,0),BC56+1)</f>
        <v>38</v>
      </c>
      <c r="BF56" s="64"/>
      <c r="BG56" s="65" t="n">
        <f aca="false">IF(BF56="#",IF(NETWORKDAYS($F$14,$F$14,Holidays!BA:BA)&lt;1,-1,0),BE56+1)</f>
        <v>39</v>
      </c>
      <c r="BH56" s="64"/>
      <c r="BI56" s="65" t="n">
        <f aca="false">IF(BH56="#",IF(NETWORKDAYS($F$14,$F$14,Holidays!BC:BC)&lt;1,-1,0),BG56+1)</f>
        <v>40</v>
      </c>
      <c r="BJ56" s="64"/>
      <c r="BK56" s="65" t="n">
        <f aca="false">IF(BJ56="#",IF(NETWORKDAYS($F$14,$F$14,Holidays!BE:BE)&lt;1,-1,0),BI56+1)</f>
        <v>41</v>
      </c>
      <c r="BL56" s="64"/>
      <c r="BM56" s="65" t="n">
        <f aca="false">IF(BL56="#",IF(NETWORKDAYS($F$14,$F$14,Holidays!BG:BG)&lt;1,-1,0),BK56+1)</f>
        <v>42</v>
      </c>
      <c r="BN56" s="64"/>
      <c r="BO56" s="65" t="n">
        <f aca="false">IF(BN56="#",IF(NETWORKDAYS($F$14,$F$14,Holidays!BI:BI)&lt;1,-1,0),BM56+1)</f>
        <v>43</v>
      </c>
      <c r="BP56" s="64"/>
      <c r="BQ56" s="65" t="n">
        <f aca="false">IF(BP56="#",IF(NETWORKDAYS($F$14,$F$14,Holidays!BK:BK)&lt;1,-1,0),BO56+1)</f>
        <v>44</v>
      </c>
      <c r="BR56" s="13"/>
      <c r="BS56" s="14"/>
    </row>
    <row r="57" customFormat="false" ht="16.5" hidden="false" customHeight="true" outlineLevel="0" collapsed="false">
      <c r="B57" s="40"/>
      <c r="C57" s="68" t="s">
        <v>30</v>
      </c>
      <c r="D57" s="62" t="s">
        <v>27</v>
      </c>
      <c r="E57" s="63" t="n">
        <v>13</v>
      </c>
      <c r="F57" s="64"/>
      <c r="G57" s="65" t="n">
        <f aca="false">IF(F57="#",IF(NETWORKDAYS($F$14,$F$14,Holidays!A:A)&lt;1,-1,0),E57+1)</f>
        <v>14</v>
      </c>
      <c r="H57" s="64"/>
      <c r="I57" s="65" t="n">
        <f aca="false">IF(H57="#",IF(NETWORKDAYS($F$14,$F$14,Holidays!C:C)&lt;1,-1,0),G57+1)</f>
        <v>15</v>
      </c>
      <c r="J57" s="64"/>
      <c r="K57" s="65" t="n">
        <f aca="false">IF(J57="#",IF(NETWORKDAYS($F$14,$F$14,Holidays!E:E)&lt;1,-1,0),I57+1)</f>
        <v>16</v>
      </c>
      <c r="L57" s="64"/>
      <c r="M57" s="65" t="n">
        <f aca="false">IF(L57="#",IF(NETWORKDAYS($F$14,$F$14,Holidays!G:G)&lt;1,-1,0),K57+1)</f>
        <v>17</v>
      </c>
      <c r="N57" s="64"/>
      <c r="O57" s="65" t="n">
        <f aca="false">IF(N57="#",IF(NETWORKDAYS($F$14,$F$14,Holidays!I:I)&lt;1,-1,0),M57+1)</f>
        <v>18</v>
      </c>
      <c r="P57" s="64"/>
      <c r="Q57" s="65" t="n">
        <f aca="false">IF(P57="#",IF(NETWORKDAYS($F$14,$F$14,Holidays!K:K)&lt;1,-1,0),O57+1)</f>
        <v>19</v>
      </c>
      <c r="R57" s="64"/>
      <c r="S57" s="65" t="n">
        <f aca="false">IF(R57="#",IF(NETWORKDAYS($F$14,$F$14,Holidays!M:M)&lt;1,-1,0),Q57+1)</f>
        <v>20</v>
      </c>
      <c r="T57" s="64"/>
      <c r="U57" s="65" t="n">
        <f aca="false">IF(T57="#",IF(NETWORKDAYS($F$14,$F$14,Holidays!O:O)&lt;1,-1,0),S57+1)</f>
        <v>21</v>
      </c>
      <c r="V57" s="64"/>
      <c r="W57" s="65" t="n">
        <f aca="false">IF(V57="#",IF(NETWORKDAYS($F$14,$F$14,Holidays!Q:Q)&lt;1,-1,0),U57+1)</f>
        <v>22</v>
      </c>
      <c r="X57" s="64"/>
      <c r="Y57" s="65" t="n">
        <f aca="false">IF(X57="#",IF(NETWORKDAYS($F$14,$F$14,Holidays!S:S)&lt;1,-1,0),W57+1)</f>
        <v>23</v>
      </c>
      <c r="Z57" s="64"/>
      <c r="AA57" s="65" t="n">
        <f aca="false">IF(Z57="#",IF(NETWORKDAYS($F$14,$F$14,Holidays!U:U)&lt;1,-1,0),Y57+1)</f>
        <v>24</v>
      </c>
      <c r="AB57" s="64"/>
      <c r="AC57" s="65" t="n">
        <f aca="false">IF(AB57="#",IF(NETWORKDAYS($F$14,$F$14,Holidays!W:W)&lt;1,-1,0),AA57+1)</f>
        <v>25</v>
      </c>
      <c r="AD57" s="64"/>
      <c r="AE57" s="65" t="n">
        <f aca="false">IF(AD57="#",IF(NETWORKDAYS($F$14,$F$14,Holidays!Y:Y)&lt;1,-1,0),AC57+1)</f>
        <v>26</v>
      </c>
      <c r="AF57" s="64"/>
      <c r="AG57" s="65" t="n">
        <f aca="false">IF(AF57="#",IF(NETWORKDAYS($F$14,$F$14,Holidays!AA:AA)&lt;1,-1,0),AE57+1)</f>
        <v>27</v>
      </c>
      <c r="AH57" s="64"/>
      <c r="AI57" s="65" t="n">
        <f aca="false">IF(AH57="#",IF(NETWORKDAYS($F$14,$F$14,Holidays!AC:AC)&lt;1,-1,0),AG57+1)</f>
        <v>28</v>
      </c>
      <c r="AJ57" s="64"/>
      <c r="AK57" s="65" t="n">
        <f aca="false">IF(AJ57="#",IF(NETWORKDAYS($F$14,$F$14,Holidays!AE:AE)&lt;1,-1,0),AI57+1)</f>
        <v>29</v>
      </c>
      <c r="AL57" s="64"/>
      <c r="AM57" s="65" t="n">
        <f aca="false">IF(AL57="#",IF(NETWORKDAYS($F$14,$F$14,Holidays!AG:AG)&lt;1,-1,0),AK57+1)</f>
        <v>30</v>
      </c>
      <c r="AN57" s="64"/>
      <c r="AO57" s="65" t="n">
        <f aca="false">IF(AN57="#",IF(NETWORKDAYS($F$14,$F$14,Holidays!AI:AI)&lt;1,-1,0),AM57+1)</f>
        <v>31</v>
      </c>
      <c r="AP57" s="64"/>
      <c r="AQ57" s="65" t="n">
        <f aca="false">IF(AP57="#",IF(NETWORKDAYS($F$14,$F$14,Holidays!AK:AK)&lt;1,-1,0),AO57+1)</f>
        <v>32</v>
      </c>
      <c r="AR57" s="64"/>
      <c r="AS57" s="65" t="n">
        <f aca="false">IF(AR57="#",IF(NETWORKDAYS($F$14,$F$14,Holidays!AM:AM)&lt;1,-1,0),AQ57+1)</f>
        <v>33</v>
      </c>
      <c r="AT57" s="64"/>
      <c r="AU57" s="65" t="n">
        <f aca="false">IF(AT57="#",IF(NETWORKDAYS($F$14,$F$14,Holidays!AO:AO)&lt;1,-1,0),AS57+1)</f>
        <v>34</v>
      </c>
      <c r="AV57" s="64"/>
      <c r="AW57" s="65" t="n">
        <f aca="false">IF(AV57="#",IF(NETWORKDAYS($F$14,$F$14,Holidays!AQ:AQ)&lt;1,-1,0),AU57+1)</f>
        <v>35</v>
      </c>
      <c r="AX57" s="64"/>
      <c r="AY57" s="65" t="n">
        <f aca="false">IF(AX57="#",IF(NETWORKDAYS($F$14,$F$14,Holidays!AS:AS)&lt;1,-1,0),AW57+1)</f>
        <v>36</v>
      </c>
      <c r="AZ57" s="64"/>
      <c r="BA57" s="65" t="n">
        <f aca="false">IF(AZ57="#",IF(NETWORKDAYS($F$14,$F$14,Holidays!AU:AU)&lt;1,-1,0),AY57+1)</f>
        <v>37</v>
      </c>
      <c r="BB57" s="64"/>
      <c r="BC57" s="65" t="n">
        <f aca="false">IF(BB57="#",IF(NETWORKDAYS($F$14,$F$14,Holidays!AW:AW)&lt;1,-1,0),BA57+1)</f>
        <v>38</v>
      </c>
      <c r="BD57" s="64"/>
      <c r="BE57" s="65" t="n">
        <f aca="false">IF(BD57="#",IF(NETWORKDAYS($F$14,$F$14,Holidays!AY:AY)&lt;1,-1,0),BC57+1)</f>
        <v>39</v>
      </c>
      <c r="BF57" s="64"/>
      <c r="BG57" s="65" t="n">
        <f aca="false">IF(BF57="#",IF(NETWORKDAYS($F$14,$F$14,Holidays!BA:BA)&lt;1,-1,0),BE57+1)</f>
        <v>40</v>
      </c>
      <c r="BH57" s="64"/>
      <c r="BI57" s="65" t="n">
        <f aca="false">IF(BH57="#",IF(NETWORKDAYS($F$14,$F$14,Holidays!BC:BC)&lt;1,-1,0),BG57+1)</f>
        <v>41</v>
      </c>
      <c r="BJ57" s="64"/>
      <c r="BK57" s="65" t="n">
        <f aca="false">IF(BJ57="#",IF(NETWORKDAYS($F$14,$F$14,Holidays!BE:BE)&lt;1,-1,0),BI57+1)</f>
        <v>42</v>
      </c>
      <c r="BL57" s="64"/>
      <c r="BM57" s="65" t="n">
        <f aca="false">IF(BL57="#",IF(NETWORKDAYS($F$14,$F$14,Holidays!BG:BG)&lt;1,-1,0),BK57+1)</f>
        <v>43</v>
      </c>
      <c r="BN57" s="64"/>
      <c r="BO57" s="65" t="n">
        <f aca="false">IF(BN57="#",IF(NETWORKDAYS($F$14,$F$14,Holidays!BI:BI)&lt;1,-1,0),BM57+1)</f>
        <v>44</v>
      </c>
      <c r="BP57" s="64"/>
      <c r="BQ57" s="65" t="n">
        <f aca="false">IF(BP57="#",IF(NETWORKDAYS($F$14,$F$14,Holidays!BK:BK)&lt;1,-1,0),BO57+1)</f>
        <v>45</v>
      </c>
      <c r="BR57" s="13"/>
      <c r="BS57" s="14"/>
    </row>
    <row r="58" customFormat="false" ht="16.5" hidden="false" customHeight="true" outlineLevel="0" collapsed="false">
      <c r="B58" s="40"/>
      <c r="C58" s="68" t="s">
        <v>30</v>
      </c>
      <c r="D58" s="62" t="s">
        <v>27</v>
      </c>
      <c r="E58" s="63" t="n">
        <v>10</v>
      </c>
      <c r="F58" s="64"/>
      <c r="G58" s="65" t="n">
        <f aca="false">IF(F58="#",IF(NETWORKDAYS($F$14,$F$14,Holidays!A:A)&lt;1,-1,0),E58+1)</f>
        <v>11</v>
      </c>
      <c r="H58" s="64"/>
      <c r="I58" s="65" t="n">
        <f aca="false">IF(H58="#",IF(NETWORKDAYS($F$14,$F$14,Holidays!C:C)&lt;1,-1,0),G58+1)</f>
        <v>12</v>
      </c>
      <c r="J58" s="64"/>
      <c r="K58" s="65" t="n">
        <f aca="false">IF(J58="#",IF(NETWORKDAYS($F$14,$F$14,Holidays!E:E)&lt;1,-1,0),I58+1)</f>
        <v>13</v>
      </c>
      <c r="L58" s="64"/>
      <c r="M58" s="65" t="n">
        <f aca="false">IF(L58="#",IF(NETWORKDAYS($F$14,$F$14,Holidays!G:G)&lt;1,-1,0),K58+1)</f>
        <v>14</v>
      </c>
      <c r="N58" s="64"/>
      <c r="O58" s="65" t="n">
        <f aca="false">IF(N58="#",IF(NETWORKDAYS($F$14,$F$14,Holidays!I:I)&lt;1,-1,0),M58+1)</f>
        <v>15</v>
      </c>
      <c r="P58" s="64"/>
      <c r="Q58" s="65" t="n">
        <f aca="false">IF(P58="#",IF(NETWORKDAYS($F$14,$F$14,Holidays!K:K)&lt;1,-1,0),O58+1)</f>
        <v>16</v>
      </c>
      <c r="R58" s="64"/>
      <c r="S58" s="65" t="n">
        <f aca="false">IF(R58="#",IF(NETWORKDAYS($F$14,$F$14,Holidays!M:M)&lt;1,-1,0),Q58+1)</f>
        <v>17</v>
      </c>
      <c r="T58" s="64"/>
      <c r="U58" s="65" t="n">
        <f aca="false">IF(T58="#",IF(NETWORKDAYS($F$14,$F$14,Holidays!O:O)&lt;1,-1,0),S58+1)</f>
        <v>18</v>
      </c>
      <c r="V58" s="64"/>
      <c r="W58" s="65" t="n">
        <f aca="false">IF(V58="#",IF(NETWORKDAYS($F$14,$F$14,Holidays!Q:Q)&lt;1,-1,0),U58+1)</f>
        <v>19</v>
      </c>
      <c r="X58" s="64"/>
      <c r="Y58" s="65" t="n">
        <f aca="false">IF(X58="#",IF(NETWORKDAYS($F$14,$F$14,Holidays!S:S)&lt;1,-1,0),W58+1)</f>
        <v>20</v>
      </c>
      <c r="Z58" s="64"/>
      <c r="AA58" s="65" t="n">
        <f aca="false">IF(Z58="#",IF(NETWORKDAYS($F$14,$F$14,Holidays!U:U)&lt;1,-1,0),Y58+1)</f>
        <v>21</v>
      </c>
      <c r="AB58" s="64"/>
      <c r="AC58" s="65" t="n">
        <f aca="false">IF(AB58="#",IF(NETWORKDAYS($F$14,$F$14,Holidays!W:W)&lt;1,-1,0),AA58+1)</f>
        <v>22</v>
      </c>
      <c r="AD58" s="64"/>
      <c r="AE58" s="65" t="n">
        <f aca="false">IF(AD58="#",IF(NETWORKDAYS($F$14,$F$14,Holidays!Y:Y)&lt;1,-1,0),AC58+1)</f>
        <v>23</v>
      </c>
      <c r="AF58" s="64"/>
      <c r="AG58" s="65" t="n">
        <f aca="false">IF(AF58="#",IF(NETWORKDAYS($F$14,$F$14,Holidays!AA:AA)&lt;1,-1,0),AE58+1)</f>
        <v>24</v>
      </c>
      <c r="AH58" s="64"/>
      <c r="AI58" s="65" t="n">
        <f aca="false">IF(AH58="#",IF(NETWORKDAYS($F$14,$F$14,Holidays!AC:AC)&lt;1,-1,0),AG58+1)</f>
        <v>25</v>
      </c>
      <c r="AJ58" s="64"/>
      <c r="AK58" s="65" t="n">
        <f aca="false">IF(AJ58="#",IF(NETWORKDAYS($F$14,$F$14,Holidays!AE:AE)&lt;1,-1,0),AI58+1)</f>
        <v>26</v>
      </c>
      <c r="AL58" s="64"/>
      <c r="AM58" s="65" t="n">
        <f aca="false">IF(AL58="#",IF(NETWORKDAYS($F$14,$F$14,Holidays!AG:AG)&lt;1,-1,0),AK58+1)</f>
        <v>27</v>
      </c>
      <c r="AN58" s="64"/>
      <c r="AO58" s="65" t="n">
        <f aca="false">IF(AN58="#",IF(NETWORKDAYS($F$14,$F$14,Holidays!AI:AI)&lt;1,-1,0),AM58+1)</f>
        <v>28</v>
      </c>
      <c r="AP58" s="64"/>
      <c r="AQ58" s="65" t="n">
        <f aca="false">IF(AP58="#",IF(NETWORKDAYS($F$14,$F$14,Holidays!AK:AK)&lt;1,-1,0),AO58+1)</f>
        <v>29</v>
      </c>
      <c r="AR58" s="64"/>
      <c r="AS58" s="65" t="n">
        <f aca="false">IF(AR58="#",IF(NETWORKDAYS($F$14,$F$14,Holidays!AM:AM)&lt;1,-1,0),AQ58+1)</f>
        <v>30</v>
      </c>
      <c r="AT58" s="64"/>
      <c r="AU58" s="65" t="n">
        <f aca="false">IF(AT58="#",IF(NETWORKDAYS($F$14,$F$14,Holidays!AO:AO)&lt;1,-1,0),AS58+1)</f>
        <v>31</v>
      </c>
      <c r="AV58" s="64"/>
      <c r="AW58" s="65" t="n">
        <f aca="false">IF(AV58="#",IF(NETWORKDAYS($F$14,$F$14,Holidays!AQ:AQ)&lt;1,-1,0),AU58+1)</f>
        <v>32</v>
      </c>
      <c r="AX58" s="64"/>
      <c r="AY58" s="65" t="n">
        <f aca="false">IF(AX58="#",IF(NETWORKDAYS($F$14,$F$14,Holidays!AS:AS)&lt;1,-1,0),AW58+1)</f>
        <v>33</v>
      </c>
      <c r="AZ58" s="64"/>
      <c r="BA58" s="65" t="n">
        <f aca="false">IF(AZ58="#",IF(NETWORKDAYS($F$14,$F$14,Holidays!AU:AU)&lt;1,-1,0),AY58+1)</f>
        <v>34</v>
      </c>
      <c r="BB58" s="64"/>
      <c r="BC58" s="65" t="n">
        <f aca="false">IF(BB58="#",IF(NETWORKDAYS($F$14,$F$14,Holidays!AW:AW)&lt;1,-1,0),BA58+1)</f>
        <v>35</v>
      </c>
      <c r="BD58" s="64"/>
      <c r="BE58" s="65" t="n">
        <f aca="false">IF(BD58="#",IF(NETWORKDAYS($F$14,$F$14,Holidays!AY:AY)&lt;1,-1,0),BC58+1)</f>
        <v>36</v>
      </c>
      <c r="BF58" s="64"/>
      <c r="BG58" s="65" t="n">
        <f aca="false">IF(BF58="#",IF(NETWORKDAYS($F$14,$F$14,Holidays!BA:BA)&lt;1,-1,0),BE58+1)</f>
        <v>37</v>
      </c>
      <c r="BH58" s="64"/>
      <c r="BI58" s="65" t="n">
        <f aca="false">IF(BH58="#",IF(NETWORKDAYS($F$14,$F$14,Holidays!BC:BC)&lt;1,-1,0),BG58+1)</f>
        <v>38</v>
      </c>
      <c r="BJ58" s="64"/>
      <c r="BK58" s="65" t="n">
        <f aca="false">IF(BJ58="#",IF(NETWORKDAYS($F$14,$F$14,Holidays!BE:BE)&lt;1,-1,0),BI58+1)</f>
        <v>39</v>
      </c>
      <c r="BL58" s="64"/>
      <c r="BM58" s="65" t="n">
        <f aca="false">IF(BL58="#",IF(NETWORKDAYS($F$14,$F$14,Holidays!BG:BG)&lt;1,-1,0),BK58+1)</f>
        <v>40</v>
      </c>
      <c r="BN58" s="64"/>
      <c r="BO58" s="65" t="n">
        <f aca="false">IF(BN58="#",IF(NETWORKDAYS($F$14,$F$14,Holidays!BI:BI)&lt;1,-1,0),BM58+1)</f>
        <v>41</v>
      </c>
      <c r="BP58" s="64"/>
      <c r="BQ58" s="65" t="n">
        <f aca="false">IF(BP58="#",IF(NETWORKDAYS($F$14,$F$14,Holidays!BK:BK)&lt;1,-1,0),BO58+1)</f>
        <v>42</v>
      </c>
      <c r="BR58" s="13"/>
      <c r="BS58" s="14"/>
    </row>
    <row r="59" customFormat="false" ht="16.5" hidden="false" customHeight="true" outlineLevel="0" collapsed="false">
      <c r="B59" s="40"/>
      <c r="C59" s="68" t="s">
        <v>30</v>
      </c>
      <c r="D59" s="62" t="s">
        <v>27</v>
      </c>
      <c r="E59" s="63" t="n">
        <v>6</v>
      </c>
      <c r="F59" s="64"/>
      <c r="G59" s="65" t="n">
        <f aca="false">IF(F59="#",IF(NETWORKDAYS($F$14,$F$14,Holidays!A:A)&lt;1,-1,0),E59+1)</f>
        <v>7</v>
      </c>
      <c r="H59" s="64"/>
      <c r="I59" s="65" t="n">
        <f aca="false">IF(H59="#",IF(NETWORKDAYS($F$14,$F$14,Holidays!C:C)&lt;1,-1,0),G59+1)</f>
        <v>8</v>
      </c>
      <c r="J59" s="64"/>
      <c r="K59" s="65" t="n">
        <f aca="false">IF(J59="#",IF(NETWORKDAYS($F$14,$F$14,Holidays!E:E)&lt;1,-1,0),I59+1)</f>
        <v>9</v>
      </c>
      <c r="L59" s="64"/>
      <c r="M59" s="65" t="n">
        <f aca="false">IF(L59="#",IF(NETWORKDAYS($F$14,$F$14,Holidays!G:G)&lt;1,-1,0),K59+1)</f>
        <v>10</v>
      </c>
      <c r="N59" s="64"/>
      <c r="O59" s="65" t="n">
        <f aca="false">IF(N59="#",IF(NETWORKDAYS($F$14,$F$14,Holidays!I:I)&lt;1,-1,0),M59+1)</f>
        <v>11</v>
      </c>
      <c r="P59" s="64"/>
      <c r="Q59" s="65" t="n">
        <f aca="false">IF(P59="#",IF(NETWORKDAYS($F$14,$F$14,Holidays!K:K)&lt;1,-1,0),O59+1)</f>
        <v>12</v>
      </c>
      <c r="R59" s="64"/>
      <c r="S59" s="65" t="n">
        <f aca="false">IF(R59="#",IF(NETWORKDAYS($F$14,$F$14,Holidays!M:M)&lt;1,-1,0),Q59+1)</f>
        <v>13</v>
      </c>
      <c r="T59" s="64"/>
      <c r="U59" s="65" t="n">
        <f aca="false">IF(T59="#",IF(NETWORKDAYS($F$14,$F$14,Holidays!O:O)&lt;1,-1,0),S59+1)</f>
        <v>14</v>
      </c>
      <c r="V59" s="64"/>
      <c r="W59" s="65" t="n">
        <f aca="false">IF(V59="#",IF(NETWORKDAYS($F$14,$F$14,Holidays!Q:Q)&lt;1,-1,0),U59+1)</f>
        <v>15</v>
      </c>
      <c r="X59" s="64"/>
      <c r="Y59" s="65" t="n">
        <f aca="false">IF(X59="#",IF(NETWORKDAYS($F$14,$F$14,Holidays!S:S)&lt;1,-1,0),W59+1)</f>
        <v>16</v>
      </c>
      <c r="Z59" s="64"/>
      <c r="AA59" s="65" t="n">
        <f aca="false">IF(Z59="#",IF(NETWORKDAYS($F$14,$F$14,Holidays!U:U)&lt;1,-1,0),Y59+1)</f>
        <v>17</v>
      </c>
      <c r="AB59" s="64"/>
      <c r="AC59" s="65" t="n">
        <f aca="false">IF(AB59="#",IF(NETWORKDAYS($F$14,$F$14,Holidays!W:W)&lt;1,-1,0),AA59+1)</f>
        <v>18</v>
      </c>
      <c r="AD59" s="64"/>
      <c r="AE59" s="65" t="n">
        <f aca="false">IF(AD59="#",IF(NETWORKDAYS($F$14,$F$14,Holidays!Y:Y)&lt;1,-1,0),AC59+1)</f>
        <v>19</v>
      </c>
      <c r="AF59" s="64"/>
      <c r="AG59" s="65" t="n">
        <f aca="false">IF(AF59="#",IF(NETWORKDAYS($F$14,$F$14,Holidays!AA:AA)&lt;1,-1,0),AE59+1)</f>
        <v>20</v>
      </c>
      <c r="AH59" s="64"/>
      <c r="AI59" s="65" t="n">
        <f aca="false">IF(AH59="#",IF(NETWORKDAYS($F$14,$F$14,Holidays!AC:AC)&lt;1,-1,0),AG59+1)</f>
        <v>21</v>
      </c>
      <c r="AJ59" s="64"/>
      <c r="AK59" s="65" t="n">
        <f aca="false">IF(AJ59="#",IF(NETWORKDAYS($F$14,$F$14,Holidays!AE:AE)&lt;1,-1,0),AI59+1)</f>
        <v>22</v>
      </c>
      <c r="AL59" s="64"/>
      <c r="AM59" s="65" t="n">
        <f aca="false">IF(AL59="#",IF(NETWORKDAYS($F$14,$F$14,Holidays!AG:AG)&lt;1,-1,0),AK59+1)</f>
        <v>23</v>
      </c>
      <c r="AN59" s="64"/>
      <c r="AO59" s="65" t="n">
        <f aca="false">IF(AN59="#",IF(NETWORKDAYS($F$14,$F$14,Holidays!AI:AI)&lt;1,-1,0),AM59+1)</f>
        <v>24</v>
      </c>
      <c r="AP59" s="64"/>
      <c r="AQ59" s="65" t="n">
        <f aca="false">IF(AP59="#",IF(NETWORKDAYS($F$14,$F$14,Holidays!AK:AK)&lt;1,-1,0),AO59+1)</f>
        <v>25</v>
      </c>
      <c r="AR59" s="64"/>
      <c r="AS59" s="65" t="n">
        <f aca="false">IF(AR59="#",IF(NETWORKDAYS($F$14,$F$14,Holidays!AM:AM)&lt;1,-1,0),AQ59+1)</f>
        <v>26</v>
      </c>
      <c r="AT59" s="64"/>
      <c r="AU59" s="65" t="n">
        <f aca="false">IF(AT59="#",IF(NETWORKDAYS($F$14,$F$14,Holidays!AO:AO)&lt;1,-1,0),AS59+1)</f>
        <v>27</v>
      </c>
      <c r="AV59" s="64"/>
      <c r="AW59" s="65" t="n">
        <f aca="false">IF(AV59="#",IF(NETWORKDAYS($F$14,$F$14,Holidays!AQ:AQ)&lt;1,-1,0),AU59+1)</f>
        <v>28</v>
      </c>
      <c r="AX59" s="64"/>
      <c r="AY59" s="65" t="n">
        <f aca="false">IF(AX59="#",IF(NETWORKDAYS($F$14,$F$14,Holidays!AS:AS)&lt;1,-1,0),AW59+1)</f>
        <v>29</v>
      </c>
      <c r="AZ59" s="64"/>
      <c r="BA59" s="65" t="n">
        <f aca="false">IF(AZ59="#",IF(NETWORKDAYS($F$14,$F$14,Holidays!AU:AU)&lt;1,-1,0),AY59+1)</f>
        <v>30</v>
      </c>
      <c r="BB59" s="64"/>
      <c r="BC59" s="65" t="n">
        <f aca="false">IF(BB59="#",IF(NETWORKDAYS($F$14,$F$14,Holidays!AW:AW)&lt;1,-1,0),BA59+1)</f>
        <v>31</v>
      </c>
      <c r="BD59" s="64"/>
      <c r="BE59" s="65" t="n">
        <f aca="false">IF(BD59="#",IF(NETWORKDAYS($F$14,$F$14,Holidays!AY:AY)&lt;1,-1,0),BC59+1)</f>
        <v>32</v>
      </c>
      <c r="BF59" s="64"/>
      <c r="BG59" s="65" t="n">
        <f aca="false">IF(BF59="#",IF(NETWORKDAYS($F$14,$F$14,Holidays!BA:BA)&lt;1,-1,0),BE59+1)</f>
        <v>33</v>
      </c>
      <c r="BH59" s="64"/>
      <c r="BI59" s="65" t="n">
        <f aca="false">IF(BH59="#",IF(NETWORKDAYS($F$14,$F$14,Holidays!BC:BC)&lt;1,-1,0),BG59+1)</f>
        <v>34</v>
      </c>
      <c r="BJ59" s="64"/>
      <c r="BK59" s="65" t="n">
        <f aca="false">IF(BJ59="#",IF(NETWORKDAYS($F$14,$F$14,Holidays!BE:BE)&lt;1,-1,0),BI59+1)</f>
        <v>35</v>
      </c>
      <c r="BL59" s="64"/>
      <c r="BM59" s="65" t="n">
        <f aca="false">IF(BL59="#",IF(NETWORKDAYS($F$14,$F$14,Holidays!BG:BG)&lt;1,-1,0),BK59+1)</f>
        <v>36</v>
      </c>
      <c r="BN59" s="64"/>
      <c r="BO59" s="65" t="n">
        <f aca="false">IF(BN59="#",IF(NETWORKDAYS($F$14,$F$14,Holidays!BI:BI)&lt;1,-1,0),BM59+1)</f>
        <v>37</v>
      </c>
      <c r="BP59" s="64"/>
      <c r="BQ59" s="65" t="n">
        <f aca="false">IF(BP59="#",IF(NETWORKDAYS($F$14,$F$14,Holidays!BK:BK)&lt;1,-1,0),BO59+1)</f>
        <v>38</v>
      </c>
      <c r="BR59" s="13"/>
      <c r="BS59" s="14"/>
    </row>
    <row r="60" customFormat="false" ht="16.5" hidden="false" customHeight="true" outlineLevel="0" collapsed="false">
      <c r="B60" s="40"/>
      <c r="C60" s="68" t="s">
        <v>30</v>
      </c>
      <c r="D60" s="62" t="s">
        <v>27</v>
      </c>
      <c r="E60" s="63" t="n">
        <v>1</v>
      </c>
      <c r="F60" s="64"/>
      <c r="G60" s="65" t="n">
        <f aca="false">IF(F60="#",IF(NETWORKDAYS($F$14,$F$14,Holidays!A:A)&lt;1,-1,0),E60+1)</f>
        <v>2</v>
      </c>
      <c r="H60" s="64"/>
      <c r="I60" s="65" t="n">
        <f aca="false">IF(H60="#",IF(NETWORKDAYS($F$14,$F$14,Holidays!C:C)&lt;1,-1,0),G60+1)</f>
        <v>3</v>
      </c>
      <c r="J60" s="64"/>
      <c r="K60" s="65" t="n">
        <f aca="false">IF(J60="#",IF(NETWORKDAYS($F$14,$F$14,Holidays!E:E)&lt;1,-1,0),I60+1)</f>
        <v>4</v>
      </c>
      <c r="L60" s="64"/>
      <c r="M60" s="65" t="n">
        <f aca="false">IF(L60="#",IF(NETWORKDAYS($F$14,$F$14,Holidays!G:G)&lt;1,-1,0),K60+1)</f>
        <v>5</v>
      </c>
      <c r="N60" s="64"/>
      <c r="O60" s="65" t="n">
        <f aca="false">IF(N60="#",IF(NETWORKDAYS($F$14,$F$14,Holidays!I:I)&lt;1,-1,0),M60+1)</f>
        <v>6</v>
      </c>
      <c r="P60" s="64"/>
      <c r="Q60" s="65" t="n">
        <f aca="false">IF(P60="#",IF(NETWORKDAYS($F$14,$F$14,Holidays!K:K)&lt;1,-1,0),O60+1)</f>
        <v>7</v>
      </c>
      <c r="R60" s="64"/>
      <c r="S60" s="65" t="n">
        <f aca="false">IF(R60="#",IF(NETWORKDAYS($F$14,$F$14,Holidays!M:M)&lt;1,-1,0),Q60+1)</f>
        <v>8</v>
      </c>
      <c r="T60" s="64"/>
      <c r="U60" s="65" t="n">
        <f aca="false">IF(T60="#",IF(NETWORKDAYS($F$14,$F$14,Holidays!O:O)&lt;1,-1,0),S60+1)</f>
        <v>9</v>
      </c>
      <c r="V60" s="64"/>
      <c r="W60" s="65" t="n">
        <f aca="false">IF(V60="#",IF(NETWORKDAYS($F$14,$F$14,Holidays!Q:Q)&lt;1,-1,0),U60+1)</f>
        <v>10</v>
      </c>
      <c r="X60" s="64"/>
      <c r="Y60" s="65" t="n">
        <f aca="false">IF(X60="#",IF(NETWORKDAYS($F$14,$F$14,Holidays!S:S)&lt;1,-1,0),W60+1)</f>
        <v>11</v>
      </c>
      <c r="Z60" s="64"/>
      <c r="AA60" s="65" t="n">
        <f aca="false">IF(Z60="#",IF(NETWORKDAYS($F$14,$F$14,Holidays!U:U)&lt;1,-1,0),Y60+1)</f>
        <v>12</v>
      </c>
      <c r="AB60" s="64"/>
      <c r="AC60" s="65" t="n">
        <f aca="false">IF(AB60="#",IF(NETWORKDAYS($F$14,$F$14,Holidays!W:W)&lt;1,-1,0),AA60+1)</f>
        <v>13</v>
      </c>
      <c r="AD60" s="64"/>
      <c r="AE60" s="65" t="n">
        <f aca="false">IF(AD60="#",IF(NETWORKDAYS($F$14,$F$14,Holidays!Y:Y)&lt;1,-1,0),AC60+1)</f>
        <v>14</v>
      </c>
      <c r="AF60" s="64"/>
      <c r="AG60" s="65" t="n">
        <f aca="false">IF(AF60="#",IF(NETWORKDAYS($F$14,$F$14,Holidays!AA:AA)&lt;1,-1,0),AE60+1)</f>
        <v>15</v>
      </c>
      <c r="AH60" s="64"/>
      <c r="AI60" s="65" t="n">
        <f aca="false">IF(AH60="#",IF(NETWORKDAYS($F$14,$F$14,Holidays!AC:AC)&lt;1,-1,0),AG60+1)</f>
        <v>16</v>
      </c>
      <c r="AJ60" s="64"/>
      <c r="AK60" s="65" t="n">
        <f aca="false">IF(AJ60="#",IF(NETWORKDAYS($F$14,$F$14,Holidays!AE:AE)&lt;1,-1,0),AI60+1)</f>
        <v>17</v>
      </c>
      <c r="AL60" s="64"/>
      <c r="AM60" s="65" t="n">
        <f aca="false">IF(AL60="#",IF(NETWORKDAYS($F$14,$F$14,Holidays!AG:AG)&lt;1,-1,0),AK60+1)</f>
        <v>18</v>
      </c>
      <c r="AN60" s="64"/>
      <c r="AO60" s="65" t="n">
        <f aca="false">IF(AN60="#",IF(NETWORKDAYS($F$14,$F$14,Holidays!AI:AI)&lt;1,-1,0),AM60+1)</f>
        <v>19</v>
      </c>
      <c r="AP60" s="64"/>
      <c r="AQ60" s="65" t="n">
        <f aca="false">IF(AP60="#",IF(NETWORKDAYS($F$14,$F$14,Holidays!AK:AK)&lt;1,-1,0),AO60+1)</f>
        <v>20</v>
      </c>
      <c r="AR60" s="64"/>
      <c r="AS60" s="65" t="n">
        <f aca="false">IF(AR60="#",IF(NETWORKDAYS($F$14,$F$14,Holidays!AM:AM)&lt;1,-1,0),AQ60+1)</f>
        <v>21</v>
      </c>
      <c r="AT60" s="64"/>
      <c r="AU60" s="65" t="n">
        <f aca="false">IF(AT60="#",IF(NETWORKDAYS($F$14,$F$14,Holidays!AO:AO)&lt;1,-1,0),AS60+1)</f>
        <v>22</v>
      </c>
      <c r="AV60" s="64"/>
      <c r="AW60" s="65" t="n">
        <f aca="false">IF(AV60="#",IF(NETWORKDAYS($F$14,$F$14,Holidays!AQ:AQ)&lt;1,-1,0),AU60+1)</f>
        <v>23</v>
      </c>
      <c r="AX60" s="64"/>
      <c r="AY60" s="65" t="n">
        <f aca="false">IF(AX60="#",IF(NETWORKDAYS($F$14,$F$14,Holidays!AS:AS)&lt;1,-1,0),AW60+1)</f>
        <v>24</v>
      </c>
      <c r="AZ60" s="64"/>
      <c r="BA60" s="65" t="n">
        <f aca="false">IF(AZ60="#",IF(NETWORKDAYS($F$14,$F$14,Holidays!AU:AU)&lt;1,-1,0),AY60+1)</f>
        <v>25</v>
      </c>
      <c r="BB60" s="64"/>
      <c r="BC60" s="65" t="n">
        <f aca="false">IF(BB60="#",IF(NETWORKDAYS($F$14,$F$14,Holidays!AW:AW)&lt;1,-1,0),BA60+1)</f>
        <v>26</v>
      </c>
      <c r="BD60" s="64"/>
      <c r="BE60" s="65" t="n">
        <f aca="false">IF(BD60="#",IF(NETWORKDAYS($F$14,$F$14,Holidays!AY:AY)&lt;1,-1,0),BC60+1)</f>
        <v>27</v>
      </c>
      <c r="BF60" s="64"/>
      <c r="BG60" s="65" t="n">
        <f aca="false">IF(BF60="#",IF(NETWORKDAYS($F$14,$F$14,Holidays!BA:BA)&lt;1,-1,0),BE60+1)</f>
        <v>28</v>
      </c>
      <c r="BH60" s="64"/>
      <c r="BI60" s="65" t="n">
        <f aca="false">IF(BH60="#",IF(NETWORKDAYS($F$14,$F$14,Holidays!BC:BC)&lt;1,-1,0),BG60+1)</f>
        <v>29</v>
      </c>
      <c r="BJ60" s="64"/>
      <c r="BK60" s="65" t="n">
        <f aca="false">IF(BJ60="#",IF(NETWORKDAYS($F$14,$F$14,Holidays!BE:BE)&lt;1,-1,0),BI60+1)</f>
        <v>30</v>
      </c>
      <c r="BL60" s="64"/>
      <c r="BM60" s="65" t="n">
        <f aca="false">IF(BL60="#",IF(NETWORKDAYS($F$14,$F$14,Holidays!BG:BG)&lt;1,-1,0),BK60+1)</f>
        <v>31</v>
      </c>
      <c r="BN60" s="64"/>
      <c r="BO60" s="65" t="n">
        <f aca="false">IF(BN60="#",IF(NETWORKDAYS($F$14,$F$14,Holidays!BI:BI)&lt;1,-1,0),BM60+1)</f>
        <v>32</v>
      </c>
      <c r="BP60" s="64"/>
      <c r="BQ60" s="65" t="n">
        <f aca="false">IF(BP60="#",IF(NETWORKDAYS($F$14,$F$14,Holidays!BK:BK)&lt;1,-1,0),BO60+1)</f>
        <v>33</v>
      </c>
      <c r="BR60" s="13"/>
      <c r="BS60" s="14"/>
    </row>
    <row r="61" customFormat="false" ht="16.5" hidden="false" customHeight="true" outlineLevel="0" collapsed="false">
      <c r="B61" s="40"/>
      <c r="C61" s="68" t="s">
        <v>30</v>
      </c>
      <c r="D61" s="62" t="s">
        <v>27</v>
      </c>
      <c r="E61" s="63" t="n">
        <v>5</v>
      </c>
      <c r="F61" s="64"/>
      <c r="G61" s="65" t="n">
        <f aca="false">IF(F61="#",IF(NETWORKDAYS($F$14,$F$14,Holidays!A:A)&lt;1,-1,0),E61+1)</f>
        <v>6</v>
      </c>
      <c r="H61" s="64"/>
      <c r="I61" s="65" t="n">
        <f aca="false">IF(H61="#",IF(NETWORKDAYS($F$14,$F$14,Holidays!C:C)&lt;1,-1,0),G61+1)</f>
        <v>7</v>
      </c>
      <c r="J61" s="64"/>
      <c r="K61" s="65" t="n">
        <f aca="false">IF(J61="#",IF(NETWORKDAYS($F$14,$F$14,Holidays!E:E)&lt;1,-1,0),I61+1)</f>
        <v>8</v>
      </c>
      <c r="L61" s="64"/>
      <c r="M61" s="65" t="n">
        <f aca="false">IF(L61="#",IF(NETWORKDAYS($F$14,$F$14,Holidays!G:G)&lt;1,-1,0),K61+1)</f>
        <v>9</v>
      </c>
      <c r="N61" s="64"/>
      <c r="O61" s="65" t="n">
        <f aca="false">IF(N61="#",IF(NETWORKDAYS($F$14,$F$14,Holidays!I:I)&lt;1,-1,0),M61+1)</f>
        <v>10</v>
      </c>
      <c r="P61" s="64"/>
      <c r="Q61" s="65" t="n">
        <f aca="false">IF(P61="#",IF(NETWORKDAYS($F$14,$F$14,Holidays!K:K)&lt;1,-1,0),O61+1)</f>
        <v>11</v>
      </c>
      <c r="R61" s="64"/>
      <c r="S61" s="65" t="n">
        <f aca="false">IF(R61="#",IF(NETWORKDAYS($F$14,$F$14,Holidays!M:M)&lt;1,-1,0),Q61+1)</f>
        <v>12</v>
      </c>
      <c r="T61" s="64"/>
      <c r="U61" s="65" t="n">
        <f aca="false">IF(T61="#",IF(NETWORKDAYS($F$14,$F$14,Holidays!O:O)&lt;1,-1,0),S61+1)</f>
        <v>13</v>
      </c>
      <c r="V61" s="64"/>
      <c r="W61" s="65" t="n">
        <f aca="false">IF(V61="#",IF(NETWORKDAYS($F$14,$F$14,Holidays!Q:Q)&lt;1,-1,0),U61+1)</f>
        <v>14</v>
      </c>
      <c r="X61" s="64"/>
      <c r="Y61" s="65" t="n">
        <f aca="false">IF(X61="#",IF(NETWORKDAYS($F$14,$F$14,Holidays!S:S)&lt;1,-1,0),W61+1)</f>
        <v>15</v>
      </c>
      <c r="Z61" s="64"/>
      <c r="AA61" s="65" t="n">
        <f aca="false">IF(Z61="#",IF(NETWORKDAYS($F$14,$F$14,Holidays!U:U)&lt;1,-1,0),Y61+1)</f>
        <v>16</v>
      </c>
      <c r="AB61" s="64"/>
      <c r="AC61" s="65" t="n">
        <f aca="false">IF(AB61="#",IF(NETWORKDAYS($F$14,$F$14,Holidays!W:W)&lt;1,-1,0),AA61+1)</f>
        <v>17</v>
      </c>
      <c r="AD61" s="64"/>
      <c r="AE61" s="65" t="n">
        <f aca="false">IF(AD61="#",IF(NETWORKDAYS($F$14,$F$14,Holidays!Y:Y)&lt;1,-1,0),AC61+1)</f>
        <v>18</v>
      </c>
      <c r="AF61" s="64"/>
      <c r="AG61" s="65" t="n">
        <f aca="false">IF(AF61="#",IF(NETWORKDAYS($F$14,$F$14,Holidays!AA:AA)&lt;1,-1,0),AE61+1)</f>
        <v>19</v>
      </c>
      <c r="AH61" s="64"/>
      <c r="AI61" s="65" t="n">
        <f aca="false">IF(AH61="#",IF(NETWORKDAYS($F$14,$F$14,Holidays!AC:AC)&lt;1,-1,0),AG61+1)</f>
        <v>20</v>
      </c>
      <c r="AJ61" s="64"/>
      <c r="AK61" s="65" t="n">
        <f aca="false">IF(AJ61="#",IF(NETWORKDAYS($F$14,$F$14,Holidays!AE:AE)&lt;1,-1,0),AI61+1)</f>
        <v>21</v>
      </c>
      <c r="AL61" s="64"/>
      <c r="AM61" s="65" t="n">
        <f aca="false">IF(AL61="#",IF(NETWORKDAYS($F$14,$F$14,Holidays!AG:AG)&lt;1,-1,0),AK61+1)</f>
        <v>22</v>
      </c>
      <c r="AN61" s="64"/>
      <c r="AO61" s="65" t="n">
        <f aca="false">IF(AN61="#",IF(NETWORKDAYS($F$14,$F$14,Holidays!AI:AI)&lt;1,-1,0),AM61+1)</f>
        <v>23</v>
      </c>
      <c r="AP61" s="64"/>
      <c r="AQ61" s="65" t="n">
        <f aca="false">IF(AP61="#",IF(NETWORKDAYS($F$14,$F$14,Holidays!AK:AK)&lt;1,-1,0),AO61+1)</f>
        <v>24</v>
      </c>
      <c r="AR61" s="64"/>
      <c r="AS61" s="65" t="n">
        <f aca="false">IF(AR61="#",IF(NETWORKDAYS($F$14,$F$14,Holidays!AM:AM)&lt;1,-1,0),AQ61+1)</f>
        <v>25</v>
      </c>
      <c r="AT61" s="64"/>
      <c r="AU61" s="65" t="n">
        <f aca="false">IF(AT61="#",IF(NETWORKDAYS($F$14,$F$14,Holidays!AO:AO)&lt;1,-1,0),AS61+1)</f>
        <v>26</v>
      </c>
      <c r="AV61" s="64"/>
      <c r="AW61" s="65" t="n">
        <f aca="false">IF(AV61="#",IF(NETWORKDAYS($F$14,$F$14,Holidays!AQ:AQ)&lt;1,-1,0),AU61+1)</f>
        <v>27</v>
      </c>
      <c r="AX61" s="64"/>
      <c r="AY61" s="65" t="n">
        <f aca="false">IF(AX61="#",IF(NETWORKDAYS($F$14,$F$14,Holidays!AS:AS)&lt;1,-1,0),AW61+1)</f>
        <v>28</v>
      </c>
      <c r="AZ61" s="64"/>
      <c r="BA61" s="65" t="n">
        <f aca="false">IF(AZ61="#",IF(NETWORKDAYS($F$14,$F$14,Holidays!AU:AU)&lt;1,-1,0),AY61+1)</f>
        <v>29</v>
      </c>
      <c r="BB61" s="64"/>
      <c r="BC61" s="65" t="n">
        <f aca="false">IF(BB61="#",IF(NETWORKDAYS($F$14,$F$14,Holidays!AW:AW)&lt;1,-1,0),BA61+1)</f>
        <v>30</v>
      </c>
      <c r="BD61" s="64"/>
      <c r="BE61" s="65" t="n">
        <f aca="false">IF(BD61="#",IF(NETWORKDAYS($F$14,$F$14,Holidays!AY:AY)&lt;1,-1,0),BC61+1)</f>
        <v>31</v>
      </c>
      <c r="BF61" s="64"/>
      <c r="BG61" s="65" t="n">
        <f aca="false">IF(BF61="#",IF(NETWORKDAYS($F$14,$F$14,Holidays!BA:BA)&lt;1,-1,0),BE61+1)</f>
        <v>32</v>
      </c>
      <c r="BH61" s="64"/>
      <c r="BI61" s="65" t="n">
        <f aca="false">IF(BH61="#",IF(NETWORKDAYS($F$14,$F$14,Holidays!BC:BC)&lt;1,-1,0),BG61+1)</f>
        <v>33</v>
      </c>
      <c r="BJ61" s="64"/>
      <c r="BK61" s="65" t="n">
        <f aca="false">IF(BJ61="#",IF(NETWORKDAYS($F$14,$F$14,Holidays!BE:BE)&lt;1,-1,0),BI61+1)</f>
        <v>34</v>
      </c>
      <c r="BL61" s="64"/>
      <c r="BM61" s="65" t="n">
        <f aca="false">IF(BL61="#",IF(NETWORKDAYS($F$14,$F$14,Holidays!BG:BG)&lt;1,-1,0),BK61+1)</f>
        <v>35</v>
      </c>
      <c r="BN61" s="64"/>
      <c r="BO61" s="65" t="n">
        <f aca="false">IF(BN61="#",IF(NETWORKDAYS($F$14,$F$14,Holidays!BI:BI)&lt;1,-1,0),BM61+1)</f>
        <v>36</v>
      </c>
      <c r="BP61" s="64"/>
      <c r="BQ61" s="65" t="n">
        <f aca="false">IF(BP61="#",IF(NETWORKDAYS($F$14,$F$14,Holidays!BK:BK)&lt;1,-1,0),BO61+1)</f>
        <v>37</v>
      </c>
      <c r="BR61" s="13"/>
      <c r="BS61" s="14"/>
    </row>
    <row r="62" customFormat="false" ht="16.5" hidden="false" customHeight="true" outlineLevel="0" collapsed="false">
      <c r="B62" s="40"/>
      <c r="C62" s="68" t="s">
        <v>30</v>
      </c>
      <c r="D62" s="62" t="s">
        <v>27</v>
      </c>
      <c r="E62" s="63" t="n">
        <v>5</v>
      </c>
      <c r="F62" s="64"/>
      <c r="G62" s="65" t="n">
        <f aca="false">IF(F62="#",IF(NETWORKDAYS($F$14,$F$14,Holidays!A:A)&lt;1,-1,0),E62+1)</f>
        <v>6</v>
      </c>
      <c r="H62" s="64"/>
      <c r="I62" s="65" t="n">
        <f aca="false">IF(H62="#",IF(NETWORKDAYS($F$14,$F$14,Holidays!C:C)&lt;1,-1,0),G62+1)</f>
        <v>7</v>
      </c>
      <c r="J62" s="64"/>
      <c r="K62" s="65" t="n">
        <f aca="false">IF(J62="#",IF(NETWORKDAYS($F$14,$F$14,Holidays!E:E)&lt;1,-1,0),I62+1)</f>
        <v>8</v>
      </c>
      <c r="L62" s="64"/>
      <c r="M62" s="65" t="n">
        <f aca="false">IF(L62="#",IF(NETWORKDAYS($F$14,$F$14,Holidays!G:G)&lt;1,-1,0),K62+1)</f>
        <v>9</v>
      </c>
      <c r="N62" s="64"/>
      <c r="O62" s="65" t="n">
        <f aca="false">IF(N62="#",IF(NETWORKDAYS($F$14,$F$14,Holidays!I:I)&lt;1,-1,0),M62+1)</f>
        <v>10</v>
      </c>
      <c r="P62" s="64"/>
      <c r="Q62" s="65" t="n">
        <f aca="false">IF(P62="#",IF(NETWORKDAYS($F$14,$F$14,Holidays!K:K)&lt;1,-1,0),O62+1)</f>
        <v>11</v>
      </c>
      <c r="R62" s="64"/>
      <c r="S62" s="65" t="n">
        <f aca="false">IF(R62="#",IF(NETWORKDAYS($F$14,$F$14,Holidays!M:M)&lt;1,-1,0),Q62+1)</f>
        <v>12</v>
      </c>
      <c r="T62" s="64"/>
      <c r="U62" s="65" t="n">
        <f aca="false">IF(T62="#",IF(NETWORKDAYS($F$14,$F$14,Holidays!O:O)&lt;1,-1,0),S62+1)</f>
        <v>13</v>
      </c>
      <c r="V62" s="64"/>
      <c r="W62" s="65" t="n">
        <f aca="false">IF(V62="#",IF(NETWORKDAYS($F$14,$F$14,Holidays!Q:Q)&lt;1,-1,0),U62+1)</f>
        <v>14</v>
      </c>
      <c r="X62" s="64"/>
      <c r="Y62" s="65" t="n">
        <f aca="false">IF(X62="#",IF(NETWORKDAYS($F$14,$F$14,Holidays!S:S)&lt;1,-1,0),W62+1)</f>
        <v>15</v>
      </c>
      <c r="Z62" s="64"/>
      <c r="AA62" s="65" t="n">
        <f aca="false">IF(Z62="#",IF(NETWORKDAYS($F$14,$F$14,Holidays!U:U)&lt;1,-1,0),Y62+1)</f>
        <v>16</v>
      </c>
      <c r="AB62" s="64"/>
      <c r="AC62" s="65" t="n">
        <f aca="false">IF(AB62="#",IF(NETWORKDAYS($F$14,$F$14,Holidays!W:W)&lt;1,-1,0),AA62+1)</f>
        <v>17</v>
      </c>
      <c r="AD62" s="64"/>
      <c r="AE62" s="65" t="n">
        <f aca="false">IF(AD62="#",IF(NETWORKDAYS($F$14,$F$14,Holidays!Y:Y)&lt;1,-1,0),AC62+1)</f>
        <v>18</v>
      </c>
      <c r="AF62" s="64"/>
      <c r="AG62" s="65" t="n">
        <f aca="false">IF(AF62="#",IF(NETWORKDAYS($F$14,$F$14,Holidays!AA:AA)&lt;1,-1,0),AE62+1)</f>
        <v>19</v>
      </c>
      <c r="AH62" s="64"/>
      <c r="AI62" s="65" t="n">
        <f aca="false">IF(AH62="#",IF(NETWORKDAYS($F$14,$F$14,Holidays!AC:AC)&lt;1,-1,0),AG62+1)</f>
        <v>20</v>
      </c>
      <c r="AJ62" s="64"/>
      <c r="AK62" s="65" t="n">
        <f aca="false">IF(AJ62="#",IF(NETWORKDAYS($F$14,$F$14,Holidays!AE:AE)&lt;1,-1,0),AI62+1)</f>
        <v>21</v>
      </c>
      <c r="AL62" s="64"/>
      <c r="AM62" s="65" t="n">
        <f aca="false">IF(AL62="#",IF(NETWORKDAYS($F$14,$F$14,Holidays!AG:AG)&lt;1,-1,0),AK62+1)</f>
        <v>22</v>
      </c>
      <c r="AN62" s="64"/>
      <c r="AO62" s="65" t="n">
        <f aca="false">IF(AN62="#",IF(NETWORKDAYS($F$14,$F$14,Holidays!AI:AI)&lt;1,-1,0),AM62+1)</f>
        <v>23</v>
      </c>
      <c r="AP62" s="64"/>
      <c r="AQ62" s="65" t="n">
        <f aca="false">IF(AP62="#",IF(NETWORKDAYS($F$14,$F$14,Holidays!AK:AK)&lt;1,-1,0),AO62+1)</f>
        <v>24</v>
      </c>
      <c r="AR62" s="64"/>
      <c r="AS62" s="65" t="n">
        <f aca="false">IF(AR62="#",IF(NETWORKDAYS($F$14,$F$14,Holidays!AM:AM)&lt;1,-1,0),AQ62+1)</f>
        <v>25</v>
      </c>
      <c r="AT62" s="64"/>
      <c r="AU62" s="65" t="n">
        <f aca="false">IF(AT62="#",IF(NETWORKDAYS($F$14,$F$14,Holidays!AO:AO)&lt;1,-1,0),AS62+1)</f>
        <v>26</v>
      </c>
      <c r="AV62" s="64"/>
      <c r="AW62" s="65" t="n">
        <f aca="false">IF(AV62="#",IF(NETWORKDAYS($F$14,$F$14,Holidays!AQ:AQ)&lt;1,-1,0),AU62+1)</f>
        <v>27</v>
      </c>
      <c r="AX62" s="64"/>
      <c r="AY62" s="65" t="n">
        <f aca="false">IF(AX62="#",IF(NETWORKDAYS($F$14,$F$14,Holidays!AS:AS)&lt;1,-1,0),AW62+1)</f>
        <v>28</v>
      </c>
      <c r="AZ62" s="64"/>
      <c r="BA62" s="65" t="n">
        <f aca="false">IF(AZ62="#",IF(NETWORKDAYS($F$14,$F$14,Holidays!AU:AU)&lt;1,-1,0),AY62+1)</f>
        <v>29</v>
      </c>
      <c r="BB62" s="64"/>
      <c r="BC62" s="65" t="n">
        <f aca="false">IF(BB62="#",IF(NETWORKDAYS($F$14,$F$14,Holidays!AW:AW)&lt;1,-1,0),BA62+1)</f>
        <v>30</v>
      </c>
      <c r="BD62" s="64"/>
      <c r="BE62" s="65" t="n">
        <f aca="false">IF(BD62="#",IF(NETWORKDAYS($F$14,$F$14,Holidays!AY:AY)&lt;1,-1,0),BC62+1)</f>
        <v>31</v>
      </c>
      <c r="BF62" s="64"/>
      <c r="BG62" s="65" t="n">
        <f aca="false">IF(BF62="#",IF(NETWORKDAYS($F$14,$F$14,Holidays!BA:BA)&lt;1,-1,0),BE62+1)</f>
        <v>32</v>
      </c>
      <c r="BH62" s="64"/>
      <c r="BI62" s="65" t="n">
        <f aca="false">IF(BH62="#",IF(NETWORKDAYS($F$14,$F$14,Holidays!BC:BC)&lt;1,-1,0),BG62+1)</f>
        <v>33</v>
      </c>
      <c r="BJ62" s="64"/>
      <c r="BK62" s="65" t="n">
        <f aca="false">IF(BJ62="#",IF(NETWORKDAYS($F$14,$F$14,Holidays!BE:BE)&lt;1,-1,0),BI62+1)</f>
        <v>34</v>
      </c>
      <c r="BL62" s="64"/>
      <c r="BM62" s="65" t="n">
        <f aca="false">IF(BL62="#",IF(NETWORKDAYS($F$14,$F$14,Holidays!BG:BG)&lt;1,-1,0),BK62+1)</f>
        <v>35</v>
      </c>
      <c r="BN62" s="64"/>
      <c r="BO62" s="65" t="n">
        <f aca="false">IF(BN62="#",IF(NETWORKDAYS($F$14,$F$14,Holidays!BI:BI)&lt;1,-1,0),BM62+1)</f>
        <v>36</v>
      </c>
      <c r="BP62" s="64"/>
      <c r="BQ62" s="65" t="n">
        <f aca="false">IF(BP62="#",IF(NETWORKDAYS($F$14,$F$14,Holidays!BK:BK)&lt;1,-1,0),BO62+1)</f>
        <v>37</v>
      </c>
      <c r="BR62" s="13"/>
      <c r="BS62" s="14"/>
    </row>
    <row r="63" customFormat="false" ht="16.5" hidden="false" customHeight="true" outlineLevel="0" collapsed="false">
      <c r="B63" s="40"/>
      <c r="C63" s="77" t="s">
        <v>30</v>
      </c>
      <c r="D63" s="62" t="s">
        <v>27</v>
      </c>
      <c r="E63" s="63" t="n">
        <v>81</v>
      </c>
      <c r="F63" s="64"/>
      <c r="G63" s="65" t="n">
        <f aca="false">IF(F63="#",IF(NETWORKDAYS($F$14,$F$14,Holidays!A:A)&lt;1,-1,0),E63+1)</f>
        <v>82</v>
      </c>
      <c r="H63" s="64"/>
      <c r="I63" s="65" t="n">
        <f aca="false">IF(H63="#",IF(NETWORKDAYS($F$14,$F$14,Holidays!C:C)&lt;1,-1,0),G63+1)</f>
        <v>83</v>
      </c>
      <c r="J63" s="64"/>
      <c r="K63" s="65" t="n">
        <f aca="false">IF(J63="#",IF(NETWORKDAYS($F$14,$F$14,Holidays!E:E)&lt;1,-1,0),I63+1)</f>
        <v>84</v>
      </c>
      <c r="L63" s="64"/>
      <c r="M63" s="65" t="n">
        <f aca="false">IF(L63="#",IF(NETWORKDAYS($F$14,$F$14,Holidays!G:G)&lt;1,-1,0),K63+1)</f>
        <v>85</v>
      </c>
      <c r="N63" s="64"/>
      <c r="O63" s="65" t="n">
        <f aca="false">IF(N63="#",IF(NETWORKDAYS($F$14,$F$14,Holidays!I:I)&lt;1,-1,0),M63+1)</f>
        <v>86</v>
      </c>
      <c r="P63" s="64"/>
      <c r="Q63" s="65" t="n">
        <f aca="false">IF(P63="#",IF(NETWORKDAYS($F$14,$F$14,Holidays!K:K)&lt;1,-1,0),O63+1)</f>
        <v>87</v>
      </c>
      <c r="R63" s="64"/>
      <c r="S63" s="65" t="n">
        <f aca="false">IF(R63="#",IF(NETWORKDAYS($F$14,$F$14,Holidays!M:M)&lt;1,-1,0),Q63+1)</f>
        <v>88</v>
      </c>
      <c r="T63" s="64"/>
      <c r="U63" s="65" t="n">
        <f aca="false">IF(T63="#",IF(NETWORKDAYS($F$14,$F$14,Holidays!O:O)&lt;1,-1,0),S63+1)</f>
        <v>89</v>
      </c>
      <c r="V63" s="64"/>
      <c r="W63" s="65" t="n">
        <f aca="false">IF(V63="#",IF(NETWORKDAYS($F$14,$F$14,Holidays!Q:Q)&lt;1,-1,0),U63+1)</f>
        <v>90</v>
      </c>
      <c r="X63" s="64"/>
      <c r="Y63" s="65" t="n">
        <f aca="false">IF(X63="#",IF(NETWORKDAYS($F$14,$F$14,Holidays!S:S)&lt;1,-1,0),W63+1)</f>
        <v>91</v>
      </c>
      <c r="Z63" s="64"/>
      <c r="AA63" s="65" t="n">
        <f aca="false">IF(Z63="#",IF(NETWORKDAYS($F$14,$F$14,Holidays!U:U)&lt;1,-1,0),Y63+1)</f>
        <v>92</v>
      </c>
      <c r="AB63" s="64"/>
      <c r="AC63" s="65" t="n">
        <f aca="false">IF(AB63="#",IF(NETWORKDAYS($F$14,$F$14,Holidays!W:W)&lt;1,-1,0),AA63+1)</f>
        <v>93</v>
      </c>
      <c r="AD63" s="64"/>
      <c r="AE63" s="65" t="n">
        <f aca="false">IF(AD63="#",IF(NETWORKDAYS($F$14,$F$14,Holidays!Y:Y)&lt;1,-1,0),AC63+1)</f>
        <v>94</v>
      </c>
      <c r="AF63" s="64"/>
      <c r="AG63" s="65" t="n">
        <f aca="false">IF(AF63="#",IF(NETWORKDAYS($F$14,$F$14,Holidays!AA:AA)&lt;1,-1,0),AE63+1)</f>
        <v>95</v>
      </c>
      <c r="AH63" s="64"/>
      <c r="AI63" s="65" t="n">
        <f aca="false">IF(AH63="#",IF(NETWORKDAYS($F$14,$F$14,Holidays!AC:AC)&lt;1,-1,0),AG63+1)</f>
        <v>96</v>
      </c>
      <c r="AJ63" s="64"/>
      <c r="AK63" s="65" t="n">
        <f aca="false">IF(AJ63="#",IF(NETWORKDAYS($F$14,$F$14,Holidays!AE:AE)&lt;1,-1,0),AI63+1)</f>
        <v>97</v>
      </c>
      <c r="AL63" s="64"/>
      <c r="AM63" s="65" t="n">
        <f aca="false">IF(AL63="#",IF(NETWORKDAYS($F$14,$F$14,Holidays!AG:AG)&lt;1,-1,0),AK63+1)</f>
        <v>98</v>
      </c>
      <c r="AN63" s="64"/>
      <c r="AO63" s="65" t="n">
        <f aca="false">IF(AN63="#",IF(NETWORKDAYS($F$14,$F$14,Holidays!AI:AI)&lt;1,-1,0),AM63+1)</f>
        <v>99</v>
      </c>
      <c r="AP63" s="64"/>
      <c r="AQ63" s="65" t="n">
        <f aca="false">IF(AP63="#",IF(NETWORKDAYS($F$14,$F$14,Holidays!AK:AK)&lt;1,-1,0),AO63+1)</f>
        <v>100</v>
      </c>
      <c r="AR63" s="64"/>
      <c r="AS63" s="65" t="n">
        <f aca="false">IF(AR63="#",IF(NETWORKDAYS($F$14,$F$14,Holidays!AM:AM)&lt;1,-1,0),AQ63+1)</f>
        <v>101</v>
      </c>
      <c r="AT63" s="64"/>
      <c r="AU63" s="65" t="n">
        <f aca="false">IF(AT63="#",IF(NETWORKDAYS($F$14,$F$14,Holidays!AO:AO)&lt;1,-1,0),AS63+1)</f>
        <v>102</v>
      </c>
      <c r="AV63" s="64"/>
      <c r="AW63" s="65" t="n">
        <f aca="false">IF(AV63="#",IF(NETWORKDAYS($F$14,$F$14,Holidays!AQ:AQ)&lt;1,-1,0),AU63+1)</f>
        <v>103</v>
      </c>
      <c r="AX63" s="64"/>
      <c r="AY63" s="65" t="n">
        <f aca="false">IF(AX63="#",IF(NETWORKDAYS($F$14,$F$14,Holidays!AS:AS)&lt;1,-1,0),AW63+1)</f>
        <v>104</v>
      </c>
      <c r="AZ63" s="64"/>
      <c r="BA63" s="65" t="n">
        <f aca="false">IF(AZ63="#",IF(NETWORKDAYS($F$14,$F$14,Holidays!AU:AU)&lt;1,-1,0),AY63+1)</f>
        <v>105</v>
      </c>
      <c r="BB63" s="64"/>
      <c r="BC63" s="65" t="n">
        <f aca="false">IF(BB63="#",IF(NETWORKDAYS($F$14,$F$14,Holidays!AW:AW)&lt;1,-1,0),BA63+1)</f>
        <v>106</v>
      </c>
      <c r="BD63" s="64"/>
      <c r="BE63" s="65" t="n">
        <f aca="false">IF(BD63="#",IF(NETWORKDAYS($F$14,$F$14,Holidays!AY:AY)&lt;1,-1,0),BC63+1)</f>
        <v>107</v>
      </c>
      <c r="BF63" s="64"/>
      <c r="BG63" s="65" t="n">
        <f aca="false">IF(BF63="#",IF(NETWORKDAYS($F$14,$F$14,Holidays!BA:BA)&lt;1,-1,0),BE63+1)</f>
        <v>108</v>
      </c>
      <c r="BH63" s="64"/>
      <c r="BI63" s="65" t="n">
        <f aca="false">IF(BH63="#",IF(NETWORKDAYS($F$14,$F$14,Holidays!BC:BC)&lt;1,-1,0),BG63+1)</f>
        <v>109</v>
      </c>
      <c r="BJ63" s="64"/>
      <c r="BK63" s="65" t="n">
        <f aca="false">IF(BJ63="#",IF(NETWORKDAYS($F$14,$F$14,Holidays!BE:BE)&lt;1,-1,0),BI63+1)</f>
        <v>110</v>
      </c>
      <c r="BL63" s="64"/>
      <c r="BM63" s="65" t="n">
        <f aca="false">IF(BL63="#",IF(NETWORKDAYS($F$14,$F$14,Holidays!BG:BG)&lt;1,-1,0),BK63+1)</f>
        <v>111</v>
      </c>
      <c r="BN63" s="64"/>
      <c r="BO63" s="65" t="n">
        <f aca="false">IF(BN63="#",IF(NETWORKDAYS($F$14,$F$14,Holidays!BI:BI)&lt;1,-1,0),BM63+1)</f>
        <v>112</v>
      </c>
      <c r="BP63" s="64"/>
      <c r="BQ63" s="65" t="n">
        <f aca="false">IF(BP63="#",IF(NETWORKDAYS($F$14,$F$14,Holidays!BK:BK)&lt;1,-1,0),BO63+1)</f>
        <v>113</v>
      </c>
      <c r="BR63" s="13"/>
      <c r="BS63" s="14"/>
    </row>
    <row r="64" customFormat="false" ht="16.5" hidden="false" customHeight="true" outlineLevel="0" collapsed="false">
      <c r="B64" s="40"/>
      <c r="C64" s="68" t="s">
        <v>31</v>
      </c>
      <c r="D64" s="62" t="s">
        <v>27</v>
      </c>
      <c r="E64" s="63" t="n">
        <v>0</v>
      </c>
      <c r="F64" s="64"/>
      <c r="G64" s="65" t="n">
        <f aca="false">IF(F64="#",IF(NETWORKDAYS($F$14,$F$14,Holidays!A:A)&lt;1,-1,0),E64+1)</f>
        <v>1</v>
      </c>
      <c r="H64" s="64"/>
      <c r="I64" s="65" t="n">
        <f aca="false">IF(H64="#",IF(NETWORKDAYS($F$14,$F$14,Holidays!C:C)&lt;1,-1,0),G64+1)</f>
        <v>2</v>
      </c>
      <c r="J64" s="64"/>
      <c r="K64" s="65" t="n">
        <f aca="false">IF(J64="#",IF(NETWORKDAYS($F$14,$F$14,Holidays!E:E)&lt;1,-1,0),I64+1)</f>
        <v>3</v>
      </c>
      <c r="L64" s="64"/>
      <c r="M64" s="65" t="n">
        <f aca="false">IF(L64="#",IF(NETWORKDAYS($F$14,$F$14,Holidays!G:G)&lt;1,-1,0),K64+1)</f>
        <v>4</v>
      </c>
      <c r="N64" s="64"/>
      <c r="O64" s="65" t="n">
        <f aca="false">IF(N64="#",IF(NETWORKDAYS($F$14,$F$14,Holidays!I:I)&lt;1,-1,0),M64+1)</f>
        <v>5</v>
      </c>
      <c r="P64" s="64"/>
      <c r="Q64" s="65" t="n">
        <f aca="false">IF(P64="#",IF(NETWORKDAYS($F$14,$F$14,Holidays!K:K)&lt;1,-1,0),O64+1)</f>
        <v>6</v>
      </c>
      <c r="R64" s="64"/>
      <c r="S64" s="65" t="n">
        <f aca="false">IF(R64="#",IF(NETWORKDAYS($F$14,$F$14,Holidays!M:M)&lt;1,-1,0),Q64+1)</f>
        <v>7</v>
      </c>
      <c r="T64" s="64"/>
      <c r="U64" s="65" t="n">
        <f aca="false">IF(T64="#",IF(NETWORKDAYS($F$14,$F$14,Holidays!O:O)&lt;1,-1,0),S64+1)</f>
        <v>8</v>
      </c>
      <c r="V64" s="64"/>
      <c r="W64" s="65" t="n">
        <f aca="false">IF(V64="#",IF(NETWORKDAYS($F$14,$F$14,Holidays!Q:Q)&lt;1,-1,0),U64+1)</f>
        <v>9</v>
      </c>
      <c r="X64" s="64"/>
      <c r="Y64" s="65" t="n">
        <f aca="false">IF(X64="#",IF(NETWORKDAYS($F$14,$F$14,Holidays!S:S)&lt;1,-1,0),W64+1)</f>
        <v>10</v>
      </c>
      <c r="Z64" s="64"/>
      <c r="AA64" s="65" t="n">
        <f aca="false">IF(Z64="#",IF(NETWORKDAYS($F$14,$F$14,Holidays!U:U)&lt;1,-1,0),Y64+1)</f>
        <v>11</v>
      </c>
      <c r="AB64" s="64"/>
      <c r="AC64" s="65" t="n">
        <f aca="false">IF(AB64="#",IF(NETWORKDAYS($F$14,$F$14,Holidays!W:W)&lt;1,-1,0),AA64+1)</f>
        <v>12</v>
      </c>
      <c r="AD64" s="64"/>
      <c r="AE64" s="65" t="n">
        <f aca="false">IF(AD64="#",IF(NETWORKDAYS($F$14,$F$14,Holidays!Y:Y)&lt;1,-1,0),AC64+1)</f>
        <v>13</v>
      </c>
      <c r="AF64" s="64"/>
      <c r="AG64" s="65" t="n">
        <f aca="false">IF(AF64="#",IF(NETWORKDAYS($F$14,$F$14,Holidays!AA:AA)&lt;1,-1,0),AE64+1)</f>
        <v>14</v>
      </c>
      <c r="AH64" s="64"/>
      <c r="AI64" s="65" t="n">
        <f aca="false">IF(AH64="#",IF(NETWORKDAYS($F$14,$F$14,Holidays!AC:AC)&lt;1,-1,0),AG64+1)</f>
        <v>15</v>
      </c>
      <c r="AJ64" s="64"/>
      <c r="AK64" s="65" t="n">
        <f aca="false">IF(AJ64="#",IF(NETWORKDAYS($F$14,$F$14,Holidays!AE:AE)&lt;1,-1,0),AI64+1)</f>
        <v>16</v>
      </c>
      <c r="AL64" s="64"/>
      <c r="AM64" s="65" t="n">
        <f aca="false">IF(AL64="#",IF(NETWORKDAYS($F$14,$F$14,Holidays!AG:AG)&lt;1,-1,0),AK64+1)</f>
        <v>17</v>
      </c>
      <c r="AN64" s="64"/>
      <c r="AO64" s="65" t="n">
        <f aca="false">IF(AN64="#",IF(NETWORKDAYS($F$14,$F$14,Holidays!AI:AI)&lt;1,-1,0),AM64+1)</f>
        <v>18</v>
      </c>
      <c r="AP64" s="64"/>
      <c r="AQ64" s="65" t="n">
        <f aca="false">IF(AP64="#",IF(NETWORKDAYS($F$14,$F$14,Holidays!AK:AK)&lt;1,-1,0),AO64+1)</f>
        <v>19</v>
      </c>
      <c r="AR64" s="64"/>
      <c r="AS64" s="65" t="n">
        <f aca="false">IF(AR64="#",IF(NETWORKDAYS($F$14,$F$14,Holidays!AM:AM)&lt;1,-1,0),AQ64+1)</f>
        <v>20</v>
      </c>
      <c r="AT64" s="64"/>
      <c r="AU64" s="65" t="n">
        <f aca="false">IF(AT64="#",IF(NETWORKDAYS($F$14,$F$14,Holidays!AO:AO)&lt;1,-1,0),AS64+1)</f>
        <v>21</v>
      </c>
      <c r="AV64" s="64"/>
      <c r="AW64" s="65" t="n">
        <f aca="false">IF(AV64="#",IF(NETWORKDAYS($F$14,$F$14,Holidays!AQ:AQ)&lt;1,-1,0),AU64+1)</f>
        <v>22</v>
      </c>
      <c r="AX64" s="64"/>
      <c r="AY64" s="65" t="n">
        <f aca="false">IF(AX64="#",IF(NETWORKDAYS($F$14,$F$14,Holidays!AS:AS)&lt;1,-1,0),AW64+1)</f>
        <v>23</v>
      </c>
      <c r="AZ64" s="64"/>
      <c r="BA64" s="65" t="n">
        <f aca="false">IF(AZ64="#",IF(NETWORKDAYS($F$14,$F$14,Holidays!AU:AU)&lt;1,-1,0),AY64+1)</f>
        <v>24</v>
      </c>
      <c r="BB64" s="64"/>
      <c r="BC64" s="65" t="n">
        <f aca="false">IF(BB64="#",IF(NETWORKDAYS($F$14,$F$14,Holidays!AW:AW)&lt;1,-1,0),BA64+1)</f>
        <v>25</v>
      </c>
      <c r="BD64" s="64"/>
      <c r="BE64" s="65" t="n">
        <f aca="false">IF(BD64="#",IF(NETWORKDAYS($F$14,$F$14,Holidays!AY:AY)&lt;1,-1,0),BC64+1)</f>
        <v>26</v>
      </c>
      <c r="BF64" s="64"/>
      <c r="BG64" s="65" t="n">
        <f aca="false">IF(BF64="#",IF(NETWORKDAYS($F$14,$F$14,Holidays!BA:BA)&lt;1,-1,0),BE64+1)</f>
        <v>27</v>
      </c>
      <c r="BH64" s="64"/>
      <c r="BI64" s="65" t="n">
        <f aca="false">IF(BH64="#",IF(NETWORKDAYS($F$14,$F$14,Holidays!BC:BC)&lt;1,-1,0),BG64+1)</f>
        <v>28</v>
      </c>
      <c r="BJ64" s="64"/>
      <c r="BK64" s="65" t="n">
        <f aca="false">IF(BJ64="#",IF(NETWORKDAYS($F$14,$F$14,Holidays!BE:BE)&lt;1,-1,0),BI64+1)</f>
        <v>29</v>
      </c>
      <c r="BL64" s="64"/>
      <c r="BM64" s="65" t="n">
        <f aca="false">IF(BL64="#",IF(NETWORKDAYS($F$14,$F$14,Holidays!BG:BG)&lt;1,-1,0),BK64+1)</f>
        <v>30</v>
      </c>
      <c r="BN64" s="64"/>
      <c r="BO64" s="65" t="n">
        <f aca="false">IF(BN64="#",IF(NETWORKDAYS($F$14,$F$14,Holidays!BI:BI)&lt;1,-1,0),BM64+1)</f>
        <v>31</v>
      </c>
      <c r="BP64" s="64"/>
      <c r="BQ64" s="65" t="n">
        <f aca="false">IF(BP64="#",IF(NETWORKDAYS($F$14,$F$14,Holidays!BK:BK)&lt;1,-1,0),BO64+1)</f>
        <v>32</v>
      </c>
      <c r="BR64" s="13"/>
      <c r="BS64" s="14"/>
    </row>
    <row r="65" customFormat="false" ht="16.5" hidden="false" customHeight="true" outlineLevel="0" collapsed="false">
      <c r="B65" s="40"/>
      <c r="C65" s="68" t="s">
        <v>31</v>
      </c>
      <c r="D65" s="62" t="s">
        <v>27</v>
      </c>
      <c r="E65" s="63" t="n">
        <v>12</v>
      </c>
      <c r="F65" s="64"/>
      <c r="G65" s="65" t="n">
        <f aca="false">IF(F65="#",IF(NETWORKDAYS($F$14,$F$14,Holidays!A:A)&lt;1,-1,0),E65+1)</f>
        <v>13</v>
      </c>
      <c r="H65" s="64"/>
      <c r="I65" s="65" t="n">
        <f aca="false">IF(H65="#",IF(NETWORKDAYS($F$14,$F$14,Holidays!C:C)&lt;1,-1,0),G65+1)</f>
        <v>14</v>
      </c>
      <c r="J65" s="64"/>
      <c r="K65" s="65" t="n">
        <f aca="false">IF(J65="#",IF(NETWORKDAYS($F$14,$F$14,Holidays!E:E)&lt;1,-1,0),I65+1)</f>
        <v>15</v>
      </c>
      <c r="L65" s="64"/>
      <c r="M65" s="65" t="n">
        <f aca="false">IF(L65="#",IF(NETWORKDAYS($F$14,$F$14,Holidays!G:G)&lt;1,-1,0),K65+1)</f>
        <v>16</v>
      </c>
      <c r="N65" s="64"/>
      <c r="O65" s="65" t="n">
        <f aca="false">IF(N65="#",IF(NETWORKDAYS($F$14,$F$14,Holidays!I:I)&lt;1,-1,0),M65+1)</f>
        <v>17</v>
      </c>
      <c r="P65" s="64"/>
      <c r="Q65" s="65" t="n">
        <f aca="false">IF(P65="#",IF(NETWORKDAYS($F$14,$F$14,Holidays!K:K)&lt;1,-1,0),O65+1)</f>
        <v>18</v>
      </c>
      <c r="R65" s="64"/>
      <c r="S65" s="65" t="n">
        <f aca="false">IF(R65="#",IF(NETWORKDAYS($F$14,$F$14,Holidays!M:M)&lt;1,-1,0),Q65+1)</f>
        <v>19</v>
      </c>
      <c r="T65" s="64"/>
      <c r="U65" s="65" t="n">
        <f aca="false">IF(T65="#",IF(NETWORKDAYS($F$14,$F$14,Holidays!O:O)&lt;1,-1,0),S65+1)</f>
        <v>20</v>
      </c>
      <c r="V65" s="64"/>
      <c r="W65" s="65" t="n">
        <f aca="false">IF(V65="#",IF(NETWORKDAYS($F$14,$F$14,Holidays!Q:Q)&lt;1,-1,0),U65+1)</f>
        <v>21</v>
      </c>
      <c r="X65" s="64"/>
      <c r="Y65" s="65" t="n">
        <f aca="false">IF(X65="#",IF(NETWORKDAYS($F$14,$F$14,Holidays!S:S)&lt;1,-1,0),W65+1)</f>
        <v>22</v>
      </c>
      <c r="Z65" s="64"/>
      <c r="AA65" s="65" t="n">
        <f aca="false">IF(Z65="#",IF(NETWORKDAYS($F$14,$F$14,Holidays!U:U)&lt;1,-1,0),Y65+1)</f>
        <v>23</v>
      </c>
      <c r="AB65" s="64"/>
      <c r="AC65" s="65" t="n">
        <f aca="false">IF(AB65="#",IF(NETWORKDAYS($F$14,$F$14,Holidays!W:W)&lt;1,-1,0),AA65+1)</f>
        <v>24</v>
      </c>
      <c r="AD65" s="64"/>
      <c r="AE65" s="65" t="n">
        <f aca="false">IF(AD65="#",IF(NETWORKDAYS($F$14,$F$14,Holidays!Y:Y)&lt;1,-1,0),AC65+1)</f>
        <v>25</v>
      </c>
      <c r="AF65" s="64"/>
      <c r="AG65" s="65" t="n">
        <f aca="false">IF(AF65="#",IF(NETWORKDAYS($F$14,$F$14,Holidays!AA:AA)&lt;1,-1,0),AE65+1)</f>
        <v>26</v>
      </c>
      <c r="AH65" s="64"/>
      <c r="AI65" s="65" t="n">
        <f aca="false">IF(AH65="#",IF(NETWORKDAYS($F$14,$F$14,Holidays!AC:AC)&lt;1,-1,0),AG65+1)</f>
        <v>27</v>
      </c>
      <c r="AJ65" s="64"/>
      <c r="AK65" s="65" t="n">
        <f aca="false">IF(AJ65="#",IF(NETWORKDAYS($F$14,$F$14,Holidays!AE:AE)&lt;1,-1,0),AI65+1)</f>
        <v>28</v>
      </c>
      <c r="AL65" s="64"/>
      <c r="AM65" s="65" t="n">
        <f aca="false">IF(AL65="#",IF(NETWORKDAYS($F$14,$F$14,Holidays!AG:AG)&lt;1,-1,0),AK65+1)</f>
        <v>29</v>
      </c>
      <c r="AN65" s="64"/>
      <c r="AO65" s="65" t="n">
        <f aca="false">IF(AN65="#",IF(NETWORKDAYS($F$14,$F$14,Holidays!AI:AI)&lt;1,-1,0),AM65+1)</f>
        <v>30</v>
      </c>
      <c r="AP65" s="64"/>
      <c r="AQ65" s="65" t="n">
        <f aca="false">IF(AP65="#",IF(NETWORKDAYS($F$14,$F$14,Holidays!AK:AK)&lt;1,-1,0),AO65+1)</f>
        <v>31</v>
      </c>
      <c r="AR65" s="64"/>
      <c r="AS65" s="65" t="n">
        <f aca="false">IF(AR65="#",IF(NETWORKDAYS($F$14,$F$14,Holidays!AM:AM)&lt;1,-1,0),AQ65+1)</f>
        <v>32</v>
      </c>
      <c r="AT65" s="64"/>
      <c r="AU65" s="65" t="n">
        <f aca="false">IF(AT65="#",IF(NETWORKDAYS($F$14,$F$14,Holidays!AO:AO)&lt;1,-1,0),AS65+1)</f>
        <v>33</v>
      </c>
      <c r="AV65" s="64"/>
      <c r="AW65" s="65" t="n">
        <f aca="false">IF(AV65="#",IF(NETWORKDAYS($F$14,$F$14,Holidays!AQ:AQ)&lt;1,-1,0),AU65+1)</f>
        <v>34</v>
      </c>
      <c r="AX65" s="64"/>
      <c r="AY65" s="65" t="n">
        <f aca="false">IF(AX65="#",IF(NETWORKDAYS($F$14,$F$14,Holidays!AS:AS)&lt;1,-1,0),AW65+1)</f>
        <v>35</v>
      </c>
      <c r="AZ65" s="64"/>
      <c r="BA65" s="65" t="n">
        <f aca="false">IF(AZ65="#",IF(NETWORKDAYS($F$14,$F$14,Holidays!AU:AU)&lt;1,-1,0),AY65+1)</f>
        <v>36</v>
      </c>
      <c r="BB65" s="64"/>
      <c r="BC65" s="65" t="n">
        <f aca="false">IF(BB65="#",IF(NETWORKDAYS($F$14,$F$14,Holidays!AW:AW)&lt;1,-1,0),BA65+1)</f>
        <v>37</v>
      </c>
      <c r="BD65" s="64"/>
      <c r="BE65" s="65" t="n">
        <f aca="false">IF(BD65="#",IF(NETWORKDAYS($F$14,$F$14,Holidays!AY:AY)&lt;1,-1,0),BC65+1)</f>
        <v>38</v>
      </c>
      <c r="BF65" s="64"/>
      <c r="BG65" s="65" t="n">
        <f aca="false">IF(BF65="#",IF(NETWORKDAYS($F$14,$F$14,Holidays!BA:BA)&lt;1,-1,0),BE65+1)</f>
        <v>39</v>
      </c>
      <c r="BH65" s="64"/>
      <c r="BI65" s="65" t="n">
        <f aca="false">IF(BH65="#",IF(NETWORKDAYS($F$14,$F$14,Holidays!BC:BC)&lt;1,-1,0),BG65+1)</f>
        <v>40</v>
      </c>
      <c r="BJ65" s="64"/>
      <c r="BK65" s="65" t="n">
        <f aca="false">IF(BJ65="#",IF(NETWORKDAYS($F$14,$F$14,Holidays!BE:BE)&lt;1,-1,0),BI65+1)</f>
        <v>41</v>
      </c>
      <c r="BL65" s="64"/>
      <c r="BM65" s="65" t="n">
        <f aca="false">IF(BL65="#",IF(NETWORKDAYS($F$14,$F$14,Holidays!BG:BG)&lt;1,-1,0),BK65+1)</f>
        <v>42</v>
      </c>
      <c r="BN65" s="64"/>
      <c r="BO65" s="65" t="n">
        <f aca="false">IF(BN65="#",IF(NETWORKDAYS($F$14,$F$14,Holidays!BI:BI)&lt;1,-1,0),BM65+1)</f>
        <v>43</v>
      </c>
      <c r="BP65" s="64"/>
      <c r="BQ65" s="65" t="n">
        <f aca="false">IF(BP65="#",IF(NETWORKDAYS($F$14,$F$14,Holidays!BK:BK)&lt;1,-1,0),BO65+1)</f>
        <v>44</v>
      </c>
      <c r="BR65" s="13"/>
      <c r="BS65" s="14"/>
    </row>
    <row r="66" customFormat="false" ht="16.5" hidden="false" customHeight="true" outlineLevel="0" collapsed="false">
      <c r="B66" s="40"/>
      <c r="C66" s="68" t="s">
        <v>31</v>
      </c>
      <c r="D66" s="62" t="s">
        <v>27</v>
      </c>
      <c r="E66" s="63" t="n">
        <v>-70</v>
      </c>
      <c r="F66" s="64"/>
      <c r="G66" s="65" t="n">
        <f aca="false">IF(F66="#",IF(NETWORKDAYS($F$14,$F$14,Holidays!A:A)&lt;1,-1,0),E66+1)</f>
        <v>-69</v>
      </c>
      <c r="H66" s="64"/>
      <c r="I66" s="65" t="n">
        <f aca="false">IF(H66="#",IF(NETWORKDAYS($F$14,$F$14,Holidays!C:C)&lt;1,-1,0),G66+1)</f>
        <v>-68</v>
      </c>
      <c r="J66" s="64"/>
      <c r="K66" s="65" t="n">
        <f aca="false">IF(J66="#",IF(NETWORKDAYS($F$14,$F$14,Holidays!E:E)&lt;1,-1,0),I66+1)</f>
        <v>-67</v>
      </c>
      <c r="L66" s="64"/>
      <c r="M66" s="65" t="n">
        <f aca="false">IF(L66="#",IF(NETWORKDAYS($F$14,$F$14,Holidays!G:G)&lt;1,-1,0),K66+1)</f>
        <v>-66</v>
      </c>
      <c r="N66" s="64"/>
      <c r="O66" s="65" t="n">
        <f aca="false">IF(N66="#",IF(NETWORKDAYS($F$14,$F$14,Holidays!I:I)&lt;1,-1,0),M66+1)</f>
        <v>-65</v>
      </c>
      <c r="P66" s="64"/>
      <c r="Q66" s="65" t="n">
        <f aca="false">IF(P66="#",IF(NETWORKDAYS($F$14,$F$14,Holidays!K:K)&lt;1,-1,0),O66+1)</f>
        <v>-64</v>
      </c>
      <c r="R66" s="64"/>
      <c r="S66" s="65" t="n">
        <f aca="false">IF(R66="#",IF(NETWORKDAYS($F$14,$F$14,Holidays!M:M)&lt;1,-1,0),Q66+1)</f>
        <v>-63</v>
      </c>
      <c r="T66" s="64"/>
      <c r="U66" s="65" t="n">
        <f aca="false">IF(T66="#",IF(NETWORKDAYS($F$14,$F$14,Holidays!O:O)&lt;1,-1,0),S66+1)</f>
        <v>-62</v>
      </c>
      <c r="V66" s="64"/>
      <c r="W66" s="65" t="n">
        <f aca="false">IF(V66="#",IF(NETWORKDAYS($F$14,$F$14,Holidays!Q:Q)&lt;1,-1,0),U66+1)</f>
        <v>-61</v>
      </c>
      <c r="X66" s="64"/>
      <c r="Y66" s="65" t="n">
        <f aca="false">IF(X66="#",IF(NETWORKDAYS($F$14,$F$14,Holidays!S:S)&lt;1,-1,0),W66+1)</f>
        <v>-60</v>
      </c>
      <c r="Z66" s="64"/>
      <c r="AA66" s="65" t="n">
        <f aca="false">IF(Z66="#",IF(NETWORKDAYS($F$14,$F$14,Holidays!U:U)&lt;1,-1,0),Y66+1)</f>
        <v>-59</v>
      </c>
      <c r="AB66" s="64"/>
      <c r="AC66" s="65" t="n">
        <f aca="false">IF(AB66="#",IF(NETWORKDAYS($F$14,$F$14,Holidays!W:W)&lt;1,-1,0),AA66+1)</f>
        <v>-58</v>
      </c>
      <c r="AD66" s="64"/>
      <c r="AE66" s="65" t="n">
        <f aca="false">IF(AD66="#",IF(NETWORKDAYS($F$14,$F$14,Holidays!Y:Y)&lt;1,-1,0),AC66+1)</f>
        <v>-57</v>
      </c>
      <c r="AF66" s="64"/>
      <c r="AG66" s="65" t="n">
        <f aca="false">IF(AF66="#",IF(NETWORKDAYS($F$14,$F$14,Holidays!AA:AA)&lt;1,-1,0),AE66+1)</f>
        <v>-56</v>
      </c>
      <c r="AH66" s="64"/>
      <c r="AI66" s="65" t="n">
        <f aca="false">IF(AH66="#",IF(NETWORKDAYS($F$14,$F$14,Holidays!AC:AC)&lt;1,-1,0),AG66+1)</f>
        <v>-55</v>
      </c>
      <c r="AJ66" s="64"/>
      <c r="AK66" s="65" t="n">
        <f aca="false">IF(AJ66="#",IF(NETWORKDAYS($F$14,$F$14,Holidays!AE:AE)&lt;1,-1,0),AI66+1)</f>
        <v>-54</v>
      </c>
      <c r="AL66" s="64"/>
      <c r="AM66" s="65" t="n">
        <f aca="false">IF(AL66="#",IF(NETWORKDAYS($F$14,$F$14,Holidays!AG:AG)&lt;1,-1,0),AK66+1)</f>
        <v>-53</v>
      </c>
      <c r="AN66" s="64"/>
      <c r="AO66" s="65" t="n">
        <f aca="false">IF(AN66="#",IF(NETWORKDAYS($F$14,$F$14,Holidays!AI:AI)&lt;1,-1,0),AM66+1)</f>
        <v>-52</v>
      </c>
      <c r="AP66" s="64"/>
      <c r="AQ66" s="65" t="n">
        <f aca="false">IF(AP66="#",IF(NETWORKDAYS($F$14,$F$14,Holidays!AK:AK)&lt;1,-1,0),AO66+1)</f>
        <v>-51</v>
      </c>
      <c r="AR66" s="64"/>
      <c r="AS66" s="65" t="n">
        <f aca="false">IF(AR66="#",IF(NETWORKDAYS($F$14,$F$14,Holidays!AM:AM)&lt;1,-1,0),AQ66+1)</f>
        <v>-50</v>
      </c>
      <c r="AT66" s="64"/>
      <c r="AU66" s="65" t="n">
        <f aca="false">IF(AT66="#",IF(NETWORKDAYS($F$14,$F$14,Holidays!AO:AO)&lt;1,-1,0),AS66+1)</f>
        <v>-49</v>
      </c>
      <c r="AV66" s="64"/>
      <c r="AW66" s="65" t="n">
        <f aca="false">IF(AV66="#",IF(NETWORKDAYS($F$14,$F$14,Holidays!AQ:AQ)&lt;1,-1,0),AU66+1)</f>
        <v>-48</v>
      </c>
      <c r="AX66" s="64"/>
      <c r="AY66" s="65" t="n">
        <f aca="false">IF(AX66="#",IF(NETWORKDAYS($F$14,$F$14,Holidays!AS:AS)&lt;1,-1,0),AW66+1)</f>
        <v>-47</v>
      </c>
      <c r="AZ66" s="64"/>
      <c r="BA66" s="65" t="n">
        <f aca="false">IF(AZ66="#",IF(NETWORKDAYS($F$14,$F$14,Holidays!AU:AU)&lt;1,-1,0),AY66+1)</f>
        <v>-46</v>
      </c>
      <c r="BB66" s="64"/>
      <c r="BC66" s="65" t="n">
        <f aca="false">IF(BB66="#",IF(NETWORKDAYS($F$14,$F$14,Holidays!AW:AW)&lt;1,-1,0),BA66+1)</f>
        <v>-45</v>
      </c>
      <c r="BD66" s="64"/>
      <c r="BE66" s="65" t="n">
        <f aca="false">IF(BD66="#",IF(NETWORKDAYS($F$14,$F$14,Holidays!AY:AY)&lt;1,-1,0),BC66+1)</f>
        <v>-44</v>
      </c>
      <c r="BF66" s="64"/>
      <c r="BG66" s="65" t="n">
        <f aca="false">IF(BF66="#",IF(NETWORKDAYS($F$14,$F$14,Holidays!BA:BA)&lt;1,-1,0),BE66+1)</f>
        <v>-43</v>
      </c>
      <c r="BH66" s="64"/>
      <c r="BI66" s="65" t="n">
        <f aca="false">IF(BH66="#",IF(NETWORKDAYS($F$14,$F$14,Holidays!BC:BC)&lt;1,-1,0),BG66+1)</f>
        <v>-42</v>
      </c>
      <c r="BJ66" s="64"/>
      <c r="BK66" s="65" t="n">
        <f aca="false">IF(BJ66="#",IF(NETWORKDAYS($F$14,$F$14,Holidays!BE:BE)&lt;1,-1,0),BI66+1)</f>
        <v>-41</v>
      </c>
      <c r="BL66" s="64"/>
      <c r="BM66" s="65" t="n">
        <f aca="false">IF(BL66="#",IF(NETWORKDAYS($F$14,$F$14,Holidays!BG:BG)&lt;1,-1,0),BK66+1)</f>
        <v>-40</v>
      </c>
      <c r="BN66" s="64"/>
      <c r="BO66" s="65" t="n">
        <f aca="false">IF(BN66="#",IF(NETWORKDAYS($F$14,$F$14,Holidays!BI:BI)&lt;1,-1,0),BM66+1)</f>
        <v>-39</v>
      </c>
      <c r="BP66" s="64"/>
      <c r="BQ66" s="65" t="n">
        <f aca="false">IF(BP66="#",IF(NETWORKDAYS($F$14,$F$14,Holidays!BK:BK)&lt;1,-1,0),BO66+1)</f>
        <v>-38</v>
      </c>
      <c r="BR66" s="13"/>
      <c r="BS66" s="14"/>
    </row>
    <row r="67" customFormat="false" ht="16.5" hidden="false" customHeight="true" outlineLevel="0" collapsed="false">
      <c r="B67" s="40"/>
      <c r="C67" s="68" t="s">
        <v>31</v>
      </c>
      <c r="D67" s="62" t="s">
        <v>27</v>
      </c>
      <c r="E67" s="63" t="n">
        <v>9</v>
      </c>
      <c r="F67" s="64"/>
      <c r="G67" s="65" t="n">
        <f aca="false">IF(F67="#",IF(NETWORKDAYS($F$14,$F$14,Holidays!A:A)&lt;1,-1,0),E67+1)</f>
        <v>10</v>
      </c>
      <c r="H67" s="64"/>
      <c r="I67" s="65" t="n">
        <f aca="false">IF(H67="#",IF(NETWORKDAYS($F$14,$F$14,Holidays!C:C)&lt;1,-1,0),G67+1)</f>
        <v>11</v>
      </c>
      <c r="J67" s="64"/>
      <c r="K67" s="65" t="n">
        <f aca="false">IF(J67="#",IF(NETWORKDAYS($F$14,$F$14,Holidays!E:E)&lt;1,-1,0),I67+1)</f>
        <v>12</v>
      </c>
      <c r="L67" s="64"/>
      <c r="M67" s="65" t="n">
        <f aca="false">IF(L67="#",IF(NETWORKDAYS($F$14,$F$14,Holidays!G:G)&lt;1,-1,0),K67+1)</f>
        <v>13</v>
      </c>
      <c r="N67" s="64"/>
      <c r="O67" s="65" t="n">
        <f aca="false">IF(N67="#",IF(NETWORKDAYS($F$14,$F$14,Holidays!I:I)&lt;1,-1,0),M67+1)</f>
        <v>14</v>
      </c>
      <c r="P67" s="64"/>
      <c r="Q67" s="65" t="n">
        <f aca="false">IF(P67="#",IF(NETWORKDAYS($F$14,$F$14,Holidays!K:K)&lt;1,-1,0),O67+1)</f>
        <v>15</v>
      </c>
      <c r="R67" s="64"/>
      <c r="S67" s="65" t="n">
        <f aca="false">IF(R67="#",IF(NETWORKDAYS($F$14,$F$14,Holidays!M:M)&lt;1,-1,0),Q67+1)</f>
        <v>16</v>
      </c>
      <c r="T67" s="64"/>
      <c r="U67" s="65" t="n">
        <f aca="false">IF(T67="#",IF(NETWORKDAYS($F$14,$F$14,Holidays!O:O)&lt;1,-1,0),S67+1)</f>
        <v>17</v>
      </c>
      <c r="V67" s="64"/>
      <c r="W67" s="65" t="n">
        <f aca="false">IF(V67="#",IF(NETWORKDAYS($F$14,$F$14,Holidays!Q:Q)&lt;1,-1,0),U67+1)</f>
        <v>18</v>
      </c>
      <c r="X67" s="64"/>
      <c r="Y67" s="65" t="n">
        <f aca="false">IF(X67="#",IF(NETWORKDAYS($F$14,$F$14,Holidays!S:S)&lt;1,-1,0),W67+1)</f>
        <v>19</v>
      </c>
      <c r="Z67" s="64"/>
      <c r="AA67" s="65" t="n">
        <f aca="false">IF(Z67="#",IF(NETWORKDAYS($F$14,$F$14,Holidays!U:U)&lt;1,-1,0),Y67+1)</f>
        <v>20</v>
      </c>
      <c r="AB67" s="64"/>
      <c r="AC67" s="65" t="n">
        <f aca="false">IF(AB67="#",IF(NETWORKDAYS($F$14,$F$14,Holidays!W:W)&lt;1,-1,0),AA67+1)</f>
        <v>21</v>
      </c>
      <c r="AD67" s="64"/>
      <c r="AE67" s="65" t="n">
        <f aca="false">IF(AD67="#",IF(NETWORKDAYS($F$14,$F$14,Holidays!Y:Y)&lt;1,-1,0),AC67+1)</f>
        <v>22</v>
      </c>
      <c r="AF67" s="64"/>
      <c r="AG67" s="65" t="n">
        <f aca="false">IF(AF67="#",IF(NETWORKDAYS($F$14,$F$14,Holidays!AA:AA)&lt;1,-1,0),AE67+1)</f>
        <v>23</v>
      </c>
      <c r="AH67" s="64"/>
      <c r="AI67" s="65" t="n">
        <f aca="false">IF(AH67="#",IF(NETWORKDAYS($F$14,$F$14,Holidays!AC:AC)&lt;1,-1,0),AG67+1)</f>
        <v>24</v>
      </c>
      <c r="AJ67" s="64"/>
      <c r="AK67" s="65" t="n">
        <f aca="false">IF(AJ67="#",IF(NETWORKDAYS($F$14,$F$14,Holidays!AE:AE)&lt;1,-1,0),AI67+1)</f>
        <v>25</v>
      </c>
      <c r="AL67" s="64"/>
      <c r="AM67" s="65" t="n">
        <f aca="false">IF(AL67="#",IF(NETWORKDAYS($F$14,$F$14,Holidays!AG:AG)&lt;1,-1,0),AK67+1)</f>
        <v>26</v>
      </c>
      <c r="AN67" s="64"/>
      <c r="AO67" s="65" t="n">
        <f aca="false">IF(AN67="#",IF(NETWORKDAYS($F$14,$F$14,Holidays!AI:AI)&lt;1,-1,0),AM67+1)</f>
        <v>27</v>
      </c>
      <c r="AP67" s="64"/>
      <c r="AQ67" s="65" t="n">
        <f aca="false">IF(AP67="#",IF(NETWORKDAYS($F$14,$F$14,Holidays!AK:AK)&lt;1,-1,0),AO67+1)</f>
        <v>28</v>
      </c>
      <c r="AR67" s="64"/>
      <c r="AS67" s="65" t="n">
        <f aca="false">IF(AR67="#",IF(NETWORKDAYS($F$14,$F$14,Holidays!AM:AM)&lt;1,-1,0),AQ67+1)</f>
        <v>29</v>
      </c>
      <c r="AT67" s="64"/>
      <c r="AU67" s="65" t="n">
        <f aca="false">IF(AT67="#",IF(NETWORKDAYS($F$14,$F$14,Holidays!AO:AO)&lt;1,-1,0),AS67+1)</f>
        <v>30</v>
      </c>
      <c r="AV67" s="64"/>
      <c r="AW67" s="65" t="n">
        <f aca="false">IF(AV67="#",IF(NETWORKDAYS($F$14,$F$14,Holidays!AQ:AQ)&lt;1,-1,0),AU67+1)</f>
        <v>31</v>
      </c>
      <c r="AX67" s="64"/>
      <c r="AY67" s="65" t="n">
        <f aca="false">IF(AX67="#",IF(NETWORKDAYS($F$14,$F$14,Holidays!AS:AS)&lt;1,-1,0),AW67+1)</f>
        <v>32</v>
      </c>
      <c r="AZ67" s="64"/>
      <c r="BA67" s="65" t="n">
        <f aca="false">IF(AZ67="#",IF(NETWORKDAYS($F$14,$F$14,Holidays!AU:AU)&lt;1,-1,0),AY67+1)</f>
        <v>33</v>
      </c>
      <c r="BB67" s="64"/>
      <c r="BC67" s="65" t="n">
        <f aca="false">IF(BB67="#",IF(NETWORKDAYS($F$14,$F$14,Holidays!AW:AW)&lt;1,-1,0),BA67+1)</f>
        <v>34</v>
      </c>
      <c r="BD67" s="64"/>
      <c r="BE67" s="65" t="n">
        <f aca="false">IF(BD67="#",IF(NETWORKDAYS($F$14,$F$14,Holidays!AY:AY)&lt;1,-1,0),BC67+1)</f>
        <v>35</v>
      </c>
      <c r="BF67" s="64"/>
      <c r="BG67" s="65" t="n">
        <f aca="false">IF(BF67="#",IF(NETWORKDAYS($F$14,$F$14,Holidays!BA:BA)&lt;1,-1,0),BE67+1)</f>
        <v>36</v>
      </c>
      <c r="BH67" s="64"/>
      <c r="BI67" s="65" t="n">
        <f aca="false">IF(BH67="#",IF(NETWORKDAYS($F$14,$F$14,Holidays!BC:BC)&lt;1,-1,0),BG67+1)</f>
        <v>37</v>
      </c>
      <c r="BJ67" s="64"/>
      <c r="BK67" s="65" t="n">
        <f aca="false">IF(BJ67="#",IF(NETWORKDAYS($F$14,$F$14,Holidays!BE:BE)&lt;1,-1,0),BI67+1)</f>
        <v>38</v>
      </c>
      <c r="BL67" s="64"/>
      <c r="BM67" s="65" t="n">
        <f aca="false">IF(BL67="#",IF(NETWORKDAYS($F$14,$F$14,Holidays!BG:BG)&lt;1,-1,0),BK67+1)</f>
        <v>39</v>
      </c>
      <c r="BN67" s="64"/>
      <c r="BO67" s="65" t="n">
        <f aca="false">IF(BN67="#",IF(NETWORKDAYS($F$14,$F$14,Holidays!BI:BI)&lt;1,-1,0),BM67+1)</f>
        <v>40</v>
      </c>
      <c r="BP67" s="64"/>
      <c r="BQ67" s="65" t="n">
        <f aca="false">IF(BP67="#",IF(NETWORKDAYS($F$14,$F$14,Holidays!BK:BK)&lt;1,-1,0),BO67+1)</f>
        <v>41</v>
      </c>
      <c r="BR67" s="13"/>
      <c r="BS67" s="14"/>
    </row>
    <row r="68" customFormat="false" ht="16.5" hidden="false" customHeight="true" outlineLevel="0" collapsed="false">
      <c r="B68" s="40"/>
      <c r="C68" s="66" t="s">
        <v>31</v>
      </c>
      <c r="D68" s="62" t="s">
        <v>27</v>
      </c>
      <c r="E68" s="63" t="n">
        <v>-100</v>
      </c>
      <c r="F68" s="64"/>
      <c r="G68" s="65" t="n">
        <f aca="false">IF(F68="#",IF(NETWORKDAYS($F$14,$F$14,Holidays!A:A)&lt;1,-1,0),E68+1)</f>
        <v>-99</v>
      </c>
      <c r="H68" s="64"/>
      <c r="I68" s="65" t="n">
        <f aca="false">IF(H68="#",IF(NETWORKDAYS($F$14,$F$14,Holidays!C:C)&lt;1,-1,0),G68+1)</f>
        <v>-98</v>
      </c>
      <c r="J68" s="64"/>
      <c r="K68" s="65" t="n">
        <f aca="false">IF(J68="#",IF(NETWORKDAYS($F$14,$F$14,Holidays!E:E)&lt;1,-1,0),I68+1)</f>
        <v>-97</v>
      </c>
      <c r="L68" s="64"/>
      <c r="M68" s="65" t="n">
        <f aca="false">IF(L68="#",IF(NETWORKDAYS($F$14,$F$14,Holidays!G:G)&lt;1,-1,0),K68+1)</f>
        <v>-96</v>
      </c>
      <c r="N68" s="64"/>
      <c r="O68" s="65" t="n">
        <f aca="false">IF(N68="#",IF(NETWORKDAYS($F$14,$F$14,Holidays!I:I)&lt;1,-1,0),M68+1)</f>
        <v>-95</v>
      </c>
      <c r="P68" s="64"/>
      <c r="Q68" s="65" t="n">
        <f aca="false">IF(P68="#",IF(NETWORKDAYS($F$14,$F$14,Holidays!K:K)&lt;1,-1,0),O68+1)</f>
        <v>-94</v>
      </c>
      <c r="R68" s="64"/>
      <c r="S68" s="65" t="n">
        <f aca="false">IF(R68="#",IF(NETWORKDAYS($F$14,$F$14,Holidays!M:M)&lt;1,-1,0),Q68+1)</f>
        <v>-93</v>
      </c>
      <c r="T68" s="64"/>
      <c r="U68" s="65" t="n">
        <f aca="false">IF(T68="#",IF(NETWORKDAYS($F$14,$F$14,Holidays!O:O)&lt;1,-1,0),S68+1)</f>
        <v>-92</v>
      </c>
      <c r="V68" s="64"/>
      <c r="W68" s="65" t="n">
        <f aca="false">IF(V68="#",IF(NETWORKDAYS($F$14,$F$14,Holidays!Q:Q)&lt;1,-1,0),U68+1)</f>
        <v>-91</v>
      </c>
      <c r="X68" s="64"/>
      <c r="Y68" s="65" t="n">
        <f aca="false">IF(X68="#",IF(NETWORKDAYS($F$14,$F$14,Holidays!S:S)&lt;1,-1,0),W68+1)</f>
        <v>-90</v>
      </c>
      <c r="Z68" s="64"/>
      <c r="AA68" s="65" t="n">
        <f aca="false">IF(Z68="#",IF(NETWORKDAYS($F$14,$F$14,Holidays!U:U)&lt;1,-1,0),Y68+1)</f>
        <v>-89</v>
      </c>
      <c r="AB68" s="64"/>
      <c r="AC68" s="65" t="n">
        <f aca="false">IF(AB68="#",IF(NETWORKDAYS($F$14,$F$14,Holidays!W:W)&lt;1,-1,0),AA68+1)</f>
        <v>-88</v>
      </c>
      <c r="AD68" s="64"/>
      <c r="AE68" s="65" t="n">
        <f aca="false">IF(AD68="#",IF(NETWORKDAYS($F$14,$F$14,Holidays!Y:Y)&lt;1,-1,0),AC68+1)</f>
        <v>-87</v>
      </c>
      <c r="AF68" s="64"/>
      <c r="AG68" s="65" t="n">
        <f aca="false">IF(AF68="#",IF(NETWORKDAYS($F$14,$F$14,Holidays!AA:AA)&lt;1,-1,0),AE68+1)</f>
        <v>-86</v>
      </c>
      <c r="AH68" s="64"/>
      <c r="AI68" s="65" t="n">
        <f aca="false">IF(AH68="#",IF(NETWORKDAYS($F$14,$F$14,Holidays!AC:AC)&lt;1,-1,0),AG68+1)</f>
        <v>-85</v>
      </c>
      <c r="AJ68" s="64"/>
      <c r="AK68" s="65" t="n">
        <f aca="false">IF(AJ68="#",IF(NETWORKDAYS($F$14,$F$14,Holidays!AE:AE)&lt;1,-1,0),AI68+1)</f>
        <v>-84</v>
      </c>
      <c r="AL68" s="64"/>
      <c r="AM68" s="65" t="n">
        <f aca="false">IF(AL68="#",IF(NETWORKDAYS($F$14,$F$14,Holidays!AG:AG)&lt;1,-1,0),AK68+1)</f>
        <v>-83</v>
      </c>
      <c r="AN68" s="64"/>
      <c r="AO68" s="65" t="n">
        <f aca="false">IF(AN68="#",IF(NETWORKDAYS($F$14,$F$14,Holidays!AI:AI)&lt;1,-1,0),AM68+1)</f>
        <v>-82</v>
      </c>
      <c r="AP68" s="64"/>
      <c r="AQ68" s="65" t="n">
        <f aca="false">IF(AP68="#",IF(NETWORKDAYS($F$14,$F$14,Holidays!AK:AK)&lt;1,-1,0),AO68+1)</f>
        <v>-81</v>
      </c>
      <c r="AR68" s="64"/>
      <c r="AS68" s="65" t="n">
        <f aca="false">IF(AR68="#",IF(NETWORKDAYS($F$14,$F$14,Holidays!AM:AM)&lt;1,-1,0),AQ68+1)</f>
        <v>-80</v>
      </c>
      <c r="AT68" s="64"/>
      <c r="AU68" s="65" t="n">
        <f aca="false">IF(AT68="#",IF(NETWORKDAYS($F$14,$F$14,Holidays!AO:AO)&lt;1,-1,0),AS68+1)</f>
        <v>-79</v>
      </c>
      <c r="AV68" s="64"/>
      <c r="AW68" s="65" t="n">
        <f aca="false">IF(AV68="#",IF(NETWORKDAYS($F$14,$F$14,Holidays!AQ:AQ)&lt;1,-1,0),AU68+1)</f>
        <v>-78</v>
      </c>
      <c r="AX68" s="64"/>
      <c r="AY68" s="65" t="n">
        <f aca="false">IF(AX68="#",IF(NETWORKDAYS($F$14,$F$14,Holidays!AS:AS)&lt;1,-1,0),AW68+1)</f>
        <v>-77</v>
      </c>
      <c r="AZ68" s="64"/>
      <c r="BA68" s="65" t="n">
        <f aca="false">IF(AZ68="#",IF(NETWORKDAYS($F$14,$F$14,Holidays!AU:AU)&lt;1,-1,0),AY68+1)</f>
        <v>-76</v>
      </c>
      <c r="BB68" s="64"/>
      <c r="BC68" s="65" t="n">
        <f aca="false">IF(BB68="#",IF(NETWORKDAYS($F$14,$F$14,Holidays!AW:AW)&lt;1,-1,0),BA68+1)</f>
        <v>-75</v>
      </c>
      <c r="BD68" s="64"/>
      <c r="BE68" s="65" t="n">
        <f aca="false">IF(BD68="#",IF(NETWORKDAYS($F$14,$F$14,Holidays!AY:AY)&lt;1,-1,0),BC68+1)</f>
        <v>-74</v>
      </c>
      <c r="BF68" s="64"/>
      <c r="BG68" s="65" t="n">
        <f aca="false">IF(BF68="#",IF(NETWORKDAYS($F$14,$F$14,Holidays!BA:BA)&lt;1,-1,0),BE68+1)</f>
        <v>-73</v>
      </c>
      <c r="BH68" s="64"/>
      <c r="BI68" s="65" t="n">
        <f aca="false">IF(BH68="#",IF(NETWORKDAYS($F$14,$F$14,Holidays!BC:BC)&lt;1,-1,0),BG68+1)</f>
        <v>-72</v>
      </c>
      <c r="BJ68" s="64"/>
      <c r="BK68" s="65" t="n">
        <f aca="false">IF(BJ68="#",IF(NETWORKDAYS($F$14,$F$14,Holidays!BE:BE)&lt;1,-1,0),BI68+1)</f>
        <v>-71</v>
      </c>
      <c r="BL68" s="64"/>
      <c r="BM68" s="65" t="n">
        <f aca="false">IF(BL68="#",IF(NETWORKDAYS($F$14,$F$14,Holidays!BG:BG)&lt;1,-1,0),BK68+1)</f>
        <v>-70</v>
      </c>
      <c r="BN68" s="64"/>
      <c r="BO68" s="65" t="n">
        <f aca="false">IF(BN68="#",IF(NETWORKDAYS($F$14,$F$14,Holidays!BI:BI)&lt;1,-1,0),BM68+1)</f>
        <v>-69</v>
      </c>
      <c r="BP68" s="64"/>
      <c r="BQ68" s="65" t="n">
        <f aca="false">IF(BP68="#",IF(NETWORKDAYS($F$14,$F$14,Holidays!BK:BK)&lt;1,-1,0),BO68+1)</f>
        <v>-68</v>
      </c>
      <c r="BR68" s="13"/>
      <c r="BS68" s="14"/>
    </row>
    <row r="69" customFormat="false" ht="16.5" hidden="false" customHeight="true" outlineLevel="0" collapsed="false">
      <c r="B69" s="40"/>
      <c r="C69" s="78" t="s">
        <v>32</v>
      </c>
      <c r="D69" s="62" t="s">
        <v>27</v>
      </c>
      <c r="E69" s="63" t="n">
        <v>81</v>
      </c>
      <c r="F69" s="64"/>
      <c r="G69" s="65" t="n">
        <f aca="false">IF(F69="#",IF(NETWORKDAYS($F$14,$F$14,Holidays!A:A)&lt;1,-1,0),E69+1)</f>
        <v>82</v>
      </c>
      <c r="H69" s="64"/>
      <c r="I69" s="65" t="n">
        <f aca="false">IF(H69="#",IF(NETWORKDAYS($F$14,$F$14,Holidays!C:C)&lt;1,-1,0),G69+1)</f>
        <v>83</v>
      </c>
      <c r="J69" s="64"/>
      <c r="K69" s="65" t="n">
        <f aca="false">IF(J69="#",IF(NETWORKDAYS($F$14,$F$14,Holidays!E:E)&lt;1,-1,0),I69+1)</f>
        <v>84</v>
      </c>
      <c r="L69" s="64"/>
      <c r="M69" s="65" t="n">
        <f aca="false">IF(L69="#",IF(NETWORKDAYS($F$14,$F$14,Holidays!G:G)&lt;1,-1,0),K69+1)</f>
        <v>85</v>
      </c>
      <c r="N69" s="64"/>
      <c r="O69" s="65" t="n">
        <f aca="false">IF(N69="#",IF(NETWORKDAYS($F$14,$F$14,Holidays!I:I)&lt;1,-1,0),M69+1)</f>
        <v>86</v>
      </c>
      <c r="P69" s="64"/>
      <c r="Q69" s="65" t="n">
        <f aca="false">IF(P69="#",IF(NETWORKDAYS($F$14,$F$14,Holidays!K:K)&lt;1,-1,0),O69+1)</f>
        <v>87</v>
      </c>
      <c r="R69" s="64"/>
      <c r="S69" s="65" t="n">
        <f aca="false">IF(R69="#",IF(NETWORKDAYS($F$14,$F$14,Holidays!M:M)&lt;1,-1,0),Q69+1)</f>
        <v>88</v>
      </c>
      <c r="T69" s="64"/>
      <c r="U69" s="65" t="n">
        <f aca="false">IF(T69="#",IF(NETWORKDAYS($F$14,$F$14,Holidays!O:O)&lt;1,-1,0),S69+1)</f>
        <v>89</v>
      </c>
      <c r="V69" s="64"/>
      <c r="W69" s="65" t="n">
        <f aca="false">IF(V69="#",IF(NETWORKDAYS($F$14,$F$14,Holidays!Q:Q)&lt;1,-1,0),U69+1)</f>
        <v>90</v>
      </c>
      <c r="X69" s="64"/>
      <c r="Y69" s="65" t="n">
        <f aca="false">IF(X69="#",IF(NETWORKDAYS($F$14,$F$14,Holidays!S:S)&lt;1,-1,0),W69+1)</f>
        <v>91</v>
      </c>
      <c r="Z69" s="64"/>
      <c r="AA69" s="65" t="n">
        <f aca="false">IF(Z69="#",IF(NETWORKDAYS($F$14,$F$14,Holidays!U:U)&lt;1,-1,0),Y69+1)</f>
        <v>92</v>
      </c>
      <c r="AB69" s="64"/>
      <c r="AC69" s="65" t="n">
        <f aca="false">IF(AB69="#",IF(NETWORKDAYS($F$14,$F$14,Holidays!W:W)&lt;1,-1,0),AA69+1)</f>
        <v>93</v>
      </c>
      <c r="AD69" s="64"/>
      <c r="AE69" s="65" t="n">
        <f aca="false">IF(AD69="#",IF(NETWORKDAYS($F$14,$F$14,Holidays!Y:Y)&lt;1,-1,0),AC69+1)</f>
        <v>94</v>
      </c>
      <c r="AF69" s="64"/>
      <c r="AG69" s="65" t="n">
        <f aca="false">IF(AF69="#",IF(NETWORKDAYS($F$14,$F$14,Holidays!AA:AA)&lt;1,-1,0),AE69+1)</f>
        <v>95</v>
      </c>
      <c r="AH69" s="64"/>
      <c r="AI69" s="65" t="n">
        <f aca="false">IF(AH69="#",IF(NETWORKDAYS($F$14,$F$14,Holidays!AC:AC)&lt;1,-1,0),AG69+1)</f>
        <v>96</v>
      </c>
      <c r="AJ69" s="64"/>
      <c r="AK69" s="65" t="n">
        <f aca="false">IF(AJ69="#",IF(NETWORKDAYS($F$14,$F$14,Holidays!AE:AE)&lt;1,-1,0),AI69+1)</f>
        <v>97</v>
      </c>
      <c r="AL69" s="64"/>
      <c r="AM69" s="65" t="n">
        <f aca="false">IF(AL69="#",IF(NETWORKDAYS($F$14,$F$14,Holidays!AG:AG)&lt;1,-1,0),AK69+1)</f>
        <v>98</v>
      </c>
      <c r="AN69" s="64"/>
      <c r="AO69" s="65" t="n">
        <f aca="false">IF(AN69="#",IF(NETWORKDAYS($F$14,$F$14,Holidays!AI:AI)&lt;1,-1,0),AM69+1)</f>
        <v>99</v>
      </c>
      <c r="AP69" s="64"/>
      <c r="AQ69" s="65" t="n">
        <f aca="false">IF(AP69="#",IF(NETWORKDAYS($F$14,$F$14,Holidays!AK:AK)&lt;1,-1,0),AO69+1)</f>
        <v>100</v>
      </c>
      <c r="AR69" s="64"/>
      <c r="AS69" s="65" t="n">
        <f aca="false">IF(AR69="#",IF(NETWORKDAYS($F$14,$F$14,Holidays!AM:AM)&lt;1,-1,0),AQ69+1)</f>
        <v>101</v>
      </c>
      <c r="AT69" s="64"/>
      <c r="AU69" s="65" t="n">
        <f aca="false">IF(AT69="#",IF(NETWORKDAYS($F$14,$F$14,Holidays!AO:AO)&lt;1,-1,0),AS69+1)</f>
        <v>102</v>
      </c>
      <c r="AV69" s="64"/>
      <c r="AW69" s="65" t="n">
        <f aca="false">IF(AV69="#",IF(NETWORKDAYS($F$14,$F$14,Holidays!AQ:AQ)&lt;1,-1,0),AU69+1)</f>
        <v>103</v>
      </c>
      <c r="AX69" s="64"/>
      <c r="AY69" s="65" t="n">
        <f aca="false">IF(AX69="#",IF(NETWORKDAYS($F$14,$F$14,Holidays!AS:AS)&lt;1,-1,0),AW69+1)</f>
        <v>104</v>
      </c>
      <c r="AZ69" s="64"/>
      <c r="BA69" s="65" t="n">
        <f aca="false">IF(AZ69="#",IF(NETWORKDAYS($F$14,$F$14,Holidays!AU:AU)&lt;1,-1,0),AY69+1)</f>
        <v>105</v>
      </c>
      <c r="BB69" s="64"/>
      <c r="BC69" s="65" t="n">
        <f aca="false">IF(BB69="#",IF(NETWORKDAYS($F$14,$F$14,Holidays!AW:AW)&lt;1,-1,0),BA69+1)</f>
        <v>106</v>
      </c>
      <c r="BD69" s="64"/>
      <c r="BE69" s="65" t="n">
        <f aca="false">IF(BD69="#",IF(NETWORKDAYS($F$14,$F$14,Holidays!AY:AY)&lt;1,-1,0),BC69+1)</f>
        <v>107</v>
      </c>
      <c r="BF69" s="64"/>
      <c r="BG69" s="65" t="n">
        <f aca="false">IF(BF69="#",IF(NETWORKDAYS($F$14,$F$14,Holidays!BA:BA)&lt;1,-1,0),BE69+1)</f>
        <v>108</v>
      </c>
      <c r="BH69" s="64"/>
      <c r="BI69" s="65" t="n">
        <f aca="false">IF(BH69="#",IF(NETWORKDAYS($F$14,$F$14,Holidays!BC:BC)&lt;1,-1,0),BG69+1)</f>
        <v>109</v>
      </c>
      <c r="BJ69" s="64"/>
      <c r="BK69" s="65" t="n">
        <f aca="false">IF(BJ69="#",IF(NETWORKDAYS($F$14,$F$14,Holidays!BE:BE)&lt;1,-1,0),BI69+1)</f>
        <v>110</v>
      </c>
      <c r="BL69" s="64"/>
      <c r="BM69" s="65" t="n">
        <f aca="false">IF(BL69="#",IF(NETWORKDAYS($F$14,$F$14,Holidays!BG:BG)&lt;1,-1,0),BK69+1)</f>
        <v>111</v>
      </c>
      <c r="BN69" s="64"/>
      <c r="BO69" s="65" t="n">
        <f aca="false">IF(BN69="#",IF(NETWORKDAYS($F$14,$F$14,Holidays!BI:BI)&lt;1,-1,0),BM69+1)</f>
        <v>112</v>
      </c>
      <c r="BP69" s="64"/>
      <c r="BQ69" s="65" t="n">
        <f aca="false">IF(BP69="#",IF(NETWORKDAYS($F$14,$F$14,Holidays!BK:BK)&lt;1,-1,0),BO69+1)</f>
        <v>113</v>
      </c>
      <c r="BR69" s="13"/>
      <c r="BS69" s="14"/>
    </row>
    <row r="70" customFormat="false" ht="16.5" hidden="false" customHeight="true" outlineLevel="0" collapsed="false">
      <c r="B70" s="40"/>
      <c r="C70" s="68" t="s">
        <v>32</v>
      </c>
      <c r="D70" s="62" t="s">
        <v>27</v>
      </c>
      <c r="E70" s="63" t="n">
        <v>81</v>
      </c>
      <c r="F70" s="64"/>
      <c r="G70" s="65" t="n">
        <f aca="false">IF(F70="#",IF(NETWORKDAYS($F$14,$F$14,Holidays!A:A)&lt;1,-1,0),E70+1)</f>
        <v>82</v>
      </c>
      <c r="H70" s="64"/>
      <c r="I70" s="65" t="n">
        <f aca="false">IF(H70="#",IF(NETWORKDAYS($F$14,$F$14,Holidays!C:C)&lt;1,-1,0),G70+1)</f>
        <v>83</v>
      </c>
      <c r="J70" s="64"/>
      <c r="K70" s="65" t="n">
        <f aca="false">IF(J70="#",IF(NETWORKDAYS($F$14,$F$14,Holidays!E:E)&lt;1,-1,0),I70+1)</f>
        <v>84</v>
      </c>
      <c r="L70" s="64"/>
      <c r="M70" s="65" t="n">
        <f aca="false">IF(L70="#",IF(NETWORKDAYS($F$14,$F$14,Holidays!G:G)&lt;1,-1,0),K70+1)</f>
        <v>85</v>
      </c>
      <c r="N70" s="64"/>
      <c r="O70" s="65" t="n">
        <f aca="false">IF(N70="#",IF(NETWORKDAYS($F$14,$F$14,Holidays!I:I)&lt;1,-1,0),M70+1)</f>
        <v>86</v>
      </c>
      <c r="P70" s="64"/>
      <c r="Q70" s="65" t="n">
        <f aca="false">IF(P70="#",IF(NETWORKDAYS($F$14,$F$14,Holidays!K:K)&lt;1,-1,0),O70+1)</f>
        <v>87</v>
      </c>
      <c r="R70" s="64"/>
      <c r="S70" s="65" t="n">
        <f aca="false">IF(R70="#",IF(NETWORKDAYS($F$14,$F$14,Holidays!M:M)&lt;1,-1,0),Q70+1)</f>
        <v>88</v>
      </c>
      <c r="T70" s="64"/>
      <c r="U70" s="65" t="n">
        <f aca="false">IF(T70="#",IF(NETWORKDAYS($F$14,$F$14,Holidays!O:O)&lt;1,-1,0),S70+1)</f>
        <v>89</v>
      </c>
      <c r="V70" s="64"/>
      <c r="W70" s="65" t="n">
        <f aca="false">IF(V70="#",IF(NETWORKDAYS($F$14,$F$14,Holidays!Q:Q)&lt;1,-1,0),U70+1)</f>
        <v>90</v>
      </c>
      <c r="X70" s="64"/>
      <c r="Y70" s="65" t="n">
        <f aca="false">IF(X70="#",IF(NETWORKDAYS($F$14,$F$14,Holidays!S:S)&lt;1,-1,0),W70+1)</f>
        <v>91</v>
      </c>
      <c r="Z70" s="64"/>
      <c r="AA70" s="65" t="n">
        <f aca="false">IF(Z70="#",IF(NETWORKDAYS($F$14,$F$14,Holidays!U:U)&lt;1,-1,0),Y70+1)</f>
        <v>92</v>
      </c>
      <c r="AB70" s="64"/>
      <c r="AC70" s="65" t="n">
        <f aca="false">IF(AB70="#",IF(NETWORKDAYS($F$14,$F$14,Holidays!W:W)&lt;1,-1,0),AA70+1)</f>
        <v>93</v>
      </c>
      <c r="AD70" s="64"/>
      <c r="AE70" s="65" t="n">
        <f aca="false">IF(AD70="#",IF(NETWORKDAYS($F$14,$F$14,Holidays!Y:Y)&lt;1,-1,0),AC70+1)</f>
        <v>94</v>
      </c>
      <c r="AF70" s="64"/>
      <c r="AG70" s="65" t="n">
        <f aca="false">IF(AF70="#",IF(NETWORKDAYS($F$14,$F$14,Holidays!AA:AA)&lt;1,-1,0),AE70+1)</f>
        <v>95</v>
      </c>
      <c r="AH70" s="64"/>
      <c r="AI70" s="65" t="n">
        <f aca="false">IF(AH70="#",IF(NETWORKDAYS($F$14,$F$14,Holidays!AC:AC)&lt;1,-1,0),AG70+1)</f>
        <v>96</v>
      </c>
      <c r="AJ70" s="64"/>
      <c r="AK70" s="65" t="n">
        <f aca="false">IF(AJ70="#",IF(NETWORKDAYS($F$14,$F$14,Holidays!AE:AE)&lt;1,-1,0),AI70+1)</f>
        <v>97</v>
      </c>
      <c r="AL70" s="64"/>
      <c r="AM70" s="65" t="n">
        <f aca="false">IF(AL70="#",IF(NETWORKDAYS($F$14,$F$14,Holidays!AG:AG)&lt;1,-1,0),AK70+1)</f>
        <v>98</v>
      </c>
      <c r="AN70" s="64"/>
      <c r="AO70" s="65" t="n">
        <f aca="false">IF(AN70="#",IF(NETWORKDAYS($F$14,$F$14,Holidays!AI:AI)&lt;1,-1,0),AM70+1)</f>
        <v>99</v>
      </c>
      <c r="AP70" s="64"/>
      <c r="AQ70" s="65" t="n">
        <f aca="false">IF(AP70="#",IF(NETWORKDAYS($F$14,$F$14,Holidays!AK:AK)&lt;1,-1,0),AO70+1)</f>
        <v>100</v>
      </c>
      <c r="AR70" s="64"/>
      <c r="AS70" s="65" t="n">
        <f aca="false">IF(AR70="#",IF(NETWORKDAYS($F$14,$F$14,Holidays!AM:AM)&lt;1,-1,0),AQ70+1)</f>
        <v>101</v>
      </c>
      <c r="AT70" s="64"/>
      <c r="AU70" s="65" t="n">
        <f aca="false">IF(AT70="#",IF(NETWORKDAYS($F$14,$F$14,Holidays!AO:AO)&lt;1,-1,0),AS70+1)</f>
        <v>102</v>
      </c>
      <c r="AV70" s="64"/>
      <c r="AW70" s="65" t="n">
        <f aca="false">IF(AV70="#",IF(NETWORKDAYS($F$14,$F$14,Holidays!AQ:AQ)&lt;1,-1,0),AU70+1)</f>
        <v>103</v>
      </c>
      <c r="AX70" s="64"/>
      <c r="AY70" s="65" t="n">
        <f aca="false">IF(AX70="#",IF(NETWORKDAYS($F$14,$F$14,Holidays!AS:AS)&lt;1,-1,0),AW70+1)</f>
        <v>104</v>
      </c>
      <c r="AZ70" s="64"/>
      <c r="BA70" s="65" t="n">
        <f aca="false">IF(AZ70="#",IF(NETWORKDAYS($F$14,$F$14,Holidays!AU:AU)&lt;1,-1,0),AY70+1)</f>
        <v>105</v>
      </c>
      <c r="BB70" s="64"/>
      <c r="BC70" s="65" t="n">
        <f aca="false">IF(BB70="#",IF(NETWORKDAYS($F$14,$F$14,Holidays!AW:AW)&lt;1,-1,0),BA70+1)</f>
        <v>106</v>
      </c>
      <c r="BD70" s="64"/>
      <c r="BE70" s="65" t="n">
        <f aca="false">IF(BD70="#",IF(NETWORKDAYS($F$14,$F$14,Holidays!AY:AY)&lt;1,-1,0),BC70+1)</f>
        <v>107</v>
      </c>
      <c r="BF70" s="64"/>
      <c r="BG70" s="65" t="n">
        <f aca="false">IF(BF70="#",IF(NETWORKDAYS($F$14,$F$14,Holidays!BA:BA)&lt;1,-1,0),BE70+1)</f>
        <v>108</v>
      </c>
      <c r="BH70" s="64"/>
      <c r="BI70" s="65" t="n">
        <f aca="false">IF(BH70="#",IF(NETWORKDAYS($F$14,$F$14,Holidays!BC:BC)&lt;1,-1,0),BG70+1)</f>
        <v>109</v>
      </c>
      <c r="BJ70" s="64"/>
      <c r="BK70" s="65" t="n">
        <f aca="false">IF(BJ70="#",IF(NETWORKDAYS($F$14,$F$14,Holidays!BE:BE)&lt;1,-1,0),BI70+1)</f>
        <v>110</v>
      </c>
      <c r="BL70" s="64"/>
      <c r="BM70" s="65" t="n">
        <f aca="false">IF(BL70="#",IF(NETWORKDAYS($F$14,$F$14,Holidays!BG:BG)&lt;1,-1,0),BK70+1)</f>
        <v>111</v>
      </c>
      <c r="BN70" s="64"/>
      <c r="BO70" s="65" t="n">
        <f aca="false">IF(BN70="#",IF(NETWORKDAYS($F$14,$F$14,Holidays!BI:BI)&lt;1,-1,0),BM70+1)</f>
        <v>112</v>
      </c>
      <c r="BP70" s="64"/>
      <c r="BQ70" s="65" t="n">
        <f aca="false">IF(BP70="#",IF(NETWORKDAYS($F$14,$F$14,Holidays!BK:BK)&lt;1,-1,0),BO70+1)</f>
        <v>113</v>
      </c>
      <c r="BR70" s="13"/>
      <c r="BS70" s="14"/>
    </row>
    <row r="71" customFormat="false" ht="16.5" hidden="false" customHeight="true" outlineLevel="0" collapsed="false">
      <c r="B71" s="40"/>
      <c r="C71" s="79" t="s">
        <v>33</v>
      </c>
      <c r="D71" s="62" t="s">
        <v>27</v>
      </c>
      <c r="E71" s="80" t="n">
        <v>5</v>
      </c>
      <c r="F71" s="64"/>
      <c r="G71" s="65" t="n">
        <f aca="false">IF(F71="#",IF(NETWORKDAYS($F$14,$F$14,Holidays!A:A)&lt;1,-1,0),E71+1)</f>
        <v>6</v>
      </c>
      <c r="H71" s="64"/>
      <c r="I71" s="65" t="n">
        <f aca="false">IF(H71="#",IF(NETWORKDAYS($F$14,$F$14,Holidays!C:C)&lt;1,-1,0),G71+1)</f>
        <v>7</v>
      </c>
      <c r="J71" s="64"/>
      <c r="K71" s="65" t="n">
        <f aca="false">IF(J71="#",IF(NETWORKDAYS($F$14,$F$14,Holidays!E:E)&lt;1,-1,0),I71+1)</f>
        <v>8</v>
      </c>
      <c r="L71" s="64"/>
      <c r="M71" s="65" t="n">
        <f aca="false">IF(L71="#",IF(NETWORKDAYS($F$14,$F$14,Holidays!G:G)&lt;1,-1,0),K71+1)</f>
        <v>9</v>
      </c>
      <c r="N71" s="64"/>
      <c r="O71" s="65" t="n">
        <f aca="false">IF(N71="#",IF(NETWORKDAYS($F$14,$F$14,Holidays!I:I)&lt;1,-1,0),M71+1)</f>
        <v>10</v>
      </c>
      <c r="P71" s="64"/>
      <c r="Q71" s="65" t="n">
        <f aca="false">IF(P71="#",IF(NETWORKDAYS($F$14,$F$14,Holidays!K:K)&lt;1,-1,0),O71+1)</f>
        <v>11</v>
      </c>
      <c r="R71" s="64"/>
      <c r="S71" s="65" t="n">
        <f aca="false">IF(R71="#",IF(NETWORKDAYS($F$14,$F$14,Holidays!M:M)&lt;1,-1,0),Q71+1)</f>
        <v>12</v>
      </c>
      <c r="T71" s="64"/>
      <c r="U71" s="65" t="n">
        <f aca="false">IF(T71="#",IF(NETWORKDAYS($F$14,$F$14,Holidays!O:O)&lt;1,-1,0),S71+1)</f>
        <v>13</v>
      </c>
      <c r="V71" s="64"/>
      <c r="W71" s="65" t="n">
        <f aca="false">IF(V71="#",IF(NETWORKDAYS($F$14,$F$14,Holidays!Q:Q)&lt;1,-1,0),U71+1)</f>
        <v>14</v>
      </c>
      <c r="X71" s="64"/>
      <c r="Y71" s="65" t="n">
        <f aca="false">IF(X71="#",IF(NETWORKDAYS($F$14,$F$14,Holidays!S:S)&lt;1,-1,0),W71+1)</f>
        <v>15</v>
      </c>
      <c r="Z71" s="64"/>
      <c r="AA71" s="65" t="n">
        <f aca="false">IF(Z71="#",IF(NETWORKDAYS($F$14,$F$14,Holidays!U:U)&lt;1,-1,0),Y71+1)</f>
        <v>16</v>
      </c>
      <c r="AB71" s="64"/>
      <c r="AC71" s="65" t="n">
        <f aca="false">IF(AB71="#",IF(NETWORKDAYS($F$14,$F$14,Holidays!W:W)&lt;1,-1,0),AA71+1)</f>
        <v>17</v>
      </c>
      <c r="AD71" s="64"/>
      <c r="AE71" s="65" t="n">
        <f aca="false">IF(AD71="#",IF(NETWORKDAYS($F$14,$F$14,Holidays!Y:Y)&lt;1,-1,0),AC71+1)</f>
        <v>18</v>
      </c>
      <c r="AF71" s="64"/>
      <c r="AG71" s="65" t="n">
        <f aca="false">IF(AF71="#",IF(NETWORKDAYS($F$14,$F$14,Holidays!AA:AA)&lt;1,-1,0),AE71+1)</f>
        <v>19</v>
      </c>
      <c r="AH71" s="64"/>
      <c r="AI71" s="65" t="n">
        <f aca="false">IF(AH71="#",IF(NETWORKDAYS($F$14,$F$14,Holidays!AC:AC)&lt;1,-1,0),AG71+1)</f>
        <v>20</v>
      </c>
      <c r="AJ71" s="64"/>
      <c r="AK71" s="65" t="n">
        <f aca="false">IF(AJ71="#",IF(NETWORKDAYS($F$14,$F$14,Holidays!AE:AE)&lt;1,-1,0),AI71+1)</f>
        <v>21</v>
      </c>
      <c r="AL71" s="64"/>
      <c r="AM71" s="65" t="n">
        <f aca="false">IF(AL71="#",IF(NETWORKDAYS($F$14,$F$14,Holidays!AG:AG)&lt;1,-1,0),AK71+1)</f>
        <v>22</v>
      </c>
      <c r="AN71" s="64"/>
      <c r="AO71" s="65" t="n">
        <f aca="false">IF(AN71="#",IF(NETWORKDAYS($F$14,$F$14,Holidays!AI:AI)&lt;1,-1,0),AM71+1)</f>
        <v>23</v>
      </c>
      <c r="AP71" s="64"/>
      <c r="AQ71" s="65" t="n">
        <f aca="false">IF(AP71="#",IF(NETWORKDAYS($F$14,$F$14,Holidays!AK:AK)&lt;1,-1,0),AO71+1)</f>
        <v>24</v>
      </c>
      <c r="AR71" s="64"/>
      <c r="AS71" s="65" t="n">
        <f aca="false">IF(AR71="#",IF(NETWORKDAYS($F$14,$F$14,Holidays!AM:AM)&lt;1,-1,0),AQ71+1)</f>
        <v>25</v>
      </c>
      <c r="AT71" s="64"/>
      <c r="AU71" s="65" t="n">
        <f aca="false">IF(AT71="#",IF(NETWORKDAYS($F$14,$F$14,Holidays!AO:AO)&lt;1,-1,0),AS71+1)</f>
        <v>26</v>
      </c>
      <c r="AV71" s="64"/>
      <c r="AW71" s="65" t="n">
        <f aca="false">IF(AV71="#",IF(NETWORKDAYS($F$14,$F$14,Holidays!AQ:AQ)&lt;1,-1,0),AU71+1)</f>
        <v>27</v>
      </c>
      <c r="AX71" s="64"/>
      <c r="AY71" s="65" t="n">
        <f aca="false">IF(AX71="#",IF(NETWORKDAYS($F$14,$F$14,Holidays!AS:AS)&lt;1,-1,0),AW71+1)</f>
        <v>28</v>
      </c>
      <c r="AZ71" s="64"/>
      <c r="BA71" s="65" t="n">
        <f aca="false">IF(AZ71="#",IF(NETWORKDAYS($F$14,$F$14,Holidays!AU:AU)&lt;1,-1,0),AY71+1)</f>
        <v>29</v>
      </c>
      <c r="BB71" s="64"/>
      <c r="BC71" s="65" t="n">
        <f aca="false">IF(BB71="#",IF(NETWORKDAYS($F$14,$F$14,Holidays!AW:AW)&lt;1,-1,0),BA71+1)</f>
        <v>30</v>
      </c>
      <c r="BD71" s="64"/>
      <c r="BE71" s="65" t="n">
        <f aca="false">IF(BD71="#",IF(NETWORKDAYS($F$14,$F$14,Holidays!AY:AY)&lt;1,-1,0),BC71+1)</f>
        <v>31</v>
      </c>
      <c r="BF71" s="64"/>
      <c r="BG71" s="65" t="n">
        <f aca="false">IF(BF71="#",IF(NETWORKDAYS($F$14,$F$14,Holidays!BA:BA)&lt;1,-1,0),BE71+1)</f>
        <v>32</v>
      </c>
      <c r="BH71" s="64"/>
      <c r="BI71" s="65" t="n">
        <f aca="false">IF(BH71="#",IF(NETWORKDAYS($F$14,$F$14,Holidays!BC:BC)&lt;1,-1,0),BG71+1)</f>
        <v>33</v>
      </c>
      <c r="BJ71" s="64"/>
      <c r="BK71" s="65" t="n">
        <f aca="false">IF(BJ71="#",IF(NETWORKDAYS($F$14,$F$14,Holidays!BE:BE)&lt;1,-1,0),BI71+1)</f>
        <v>34</v>
      </c>
      <c r="BL71" s="64"/>
      <c r="BM71" s="65" t="n">
        <f aca="false">IF(BL71="#",IF(NETWORKDAYS($F$14,$F$14,Holidays!BG:BG)&lt;1,-1,0),BK71+1)</f>
        <v>35</v>
      </c>
      <c r="BN71" s="64"/>
      <c r="BO71" s="65" t="n">
        <f aca="false">IF(BN71="#",IF(NETWORKDAYS($F$14,$F$14,Holidays!BI:BI)&lt;1,-1,0),BM71+1)</f>
        <v>36</v>
      </c>
      <c r="BP71" s="64"/>
      <c r="BQ71" s="65" t="n">
        <f aca="false">IF(BP71="#",IF(NETWORKDAYS($F$14,$F$14,Holidays!BK:BK)&lt;1,-1,0),BO71+1)</f>
        <v>37</v>
      </c>
      <c r="BR71" s="40"/>
      <c r="BS71" s="14"/>
    </row>
    <row r="72" customFormat="false" ht="16.5" hidden="false" customHeight="true" outlineLevel="0" collapsed="false">
      <c r="B72" s="40"/>
      <c r="C72" s="81" t="s">
        <v>34</v>
      </c>
      <c r="D72" s="62" t="s">
        <v>27</v>
      </c>
      <c r="E72" s="82" t="n">
        <v>30</v>
      </c>
      <c r="F72" s="64"/>
      <c r="G72" s="65" t="n">
        <f aca="false">IF(F72="#",IF(NETWORKDAYS($F$14,$F$14,Holidays!A:A)&lt;1,-1,0),E72+1)</f>
        <v>31</v>
      </c>
      <c r="H72" s="64"/>
      <c r="I72" s="65" t="n">
        <f aca="false">IF(H72="#",IF(NETWORKDAYS($F$14,$F$14,Holidays!C:C)&lt;1,-1,0),G72+1)</f>
        <v>32</v>
      </c>
      <c r="J72" s="64"/>
      <c r="K72" s="65" t="n">
        <f aca="false">IF(J72="#",IF(NETWORKDAYS($F$14,$F$14,Holidays!E:E)&lt;1,-1,0),I72+1)</f>
        <v>33</v>
      </c>
      <c r="L72" s="64"/>
      <c r="M72" s="65" t="n">
        <f aca="false">IF(L72="#",IF(NETWORKDAYS($F$14,$F$14,Holidays!G:G)&lt;1,-1,0),K72+1)</f>
        <v>34</v>
      </c>
      <c r="N72" s="64"/>
      <c r="O72" s="65" t="n">
        <f aca="false">IF(N72="#",IF(NETWORKDAYS($F$14,$F$14,Holidays!I:I)&lt;1,-1,0),M72+1)</f>
        <v>35</v>
      </c>
      <c r="P72" s="64"/>
      <c r="Q72" s="65" t="n">
        <f aca="false">IF(P72="#",IF(NETWORKDAYS($F$14,$F$14,Holidays!K:K)&lt;1,-1,0),O72+1)</f>
        <v>36</v>
      </c>
      <c r="R72" s="64"/>
      <c r="S72" s="65" t="n">
        <f aca="false">IF(R72="#",IF(NETWORKDAYS($F$14,$F$14,Holidays!M:M)&lt;1,-1,0),Q72+1)</f>
        <v>37</v>
      </c>
      <c r="T72" s="64"/>
      <c r="U72" s="65" t="n">
        <f aca="false">IF(T72="#",IF(NETWORKDAYS($F$14,$F$14,Holidays!O:O)&lt;1,-1,0),S72+1)</f>
        <v>38</v>
      </c>
      <c r="V72" s="64"/>
      <c r="W72" s="65" t="n">
        <f aca="false">IF(V72="#",IF(NETWORKDAYS($F$14,$F$14,Holidays!Q:Q)&lt;1,-1,0),U72+1)</f>
        <v>39</v>
      </c>
      <c r="X72" s="64"/>
      <c r="Y72" s="65" t="n">
        <f aca="false">IF(X72="#",IF(NETWORKDAYS($F$14,$F$14,Holidays!S:S)&lt;1,-1,0),W72+1)</f>
        <v>40</v>
      </c>
      <c r="Z72" s="64"/>
      <c r="AA72" s="65" t="n">
        <f aca="false">IF(Z72="#",IF(NETWORKDAYS($F$14,$F$14,Holidays!U:U)&lt;1,-1,0),Y72+1)</f>
        <v>41</v>
      </c>
      <c r="AB72" s="64"/>
      <c r="AC72" s="65" t="n">
        <f aca="false">IF(AB72="#",IF(NETWORKDAYS($F$14,$F$14,Holidays!W:W)&lt;1,-1,0),AA72+1)</f>
        <v>42</v>
      </c>
      <c r="AD72" s="64"/>
      <c r="AE72" s="65" t="n">
        <f aca="false">IF(AD72="#",IF(NETWORKDAYS($F$14,$F$14,Holidays!Y:Y)&lt;1,-1,0),AC72+1)</f>
        <v>43</v>
      </c>
      <c r="AF72" s="64"/>
      <c r="AG72" s="65" t="n">
        <f aca="false">IF(AF72="#",IF(NETWORKDAYS($F$14,$F$14,Holidays!AA:AA)&lt;1,-1,0),AE72+1)</f>
        <v>44</v>
      </c>
      <c r="AH72" s="64"/>
      <c r="AI72" s="65" t="n">
        <f aca="false">IF(AH72="#",IF(NETWORKDAYS($F$14,$F$14,Holidays!AC:AC)&lt;1,-1,0),AG72+1)</f>
        <v>45</v>
      </c>
      <c r="AJ72" s="64"/>
      <c r="AK72" s="65" t="n">
        <f aca="false">IF(AJ72="#",IF(NETWORKDAYS($F$14,$F$14,Holidays!AE:AE)&lt;1,-1,0),AI72+1)</f>
        <v>46</v>
      </c>
      <c r="AL72" s="64"/>
      <c r="AM72" s="65" t="n">
        <f aca="false">IF(AL72="#",IF(NETWORKDAYS($F$14,$F$14,Holidays!AG:AG)&lt;1,-1,0),AK72+1)</f>
        <v>47</v>
      </c>
      <c r="AN72" s="64"/>
      <c r="AO72" s="65" t="n">
        <f aca="false">IF(AN72="#",IF(NETWORKDAYS($F$14,$F$14,Holidays!AI:AI)&lt;1,-1,0),AM72+1)</f>
        <v>48</v>
      </c>
      <c r="AP72" s="64"/>
      <c r="AQ72" s="65" t="n">
        <f aca="false">IF(AP72="#",IF(NETWORKDAYS($F$14,$F$14,Holidays!AK:AK)&lt;1,-1,0),AO72+1)</f>
        <v>49</v>
      </c>
      <c r="AR72" s="64"/>
      <c r="AS72" s="65" t="n">
        <f aca="false">IF(AR72="#",IF(NETWORKDAYS($F$14,$F$14,Holidays!AM:AM)&lt;1,-1,0),AQ72+1)</f>
        <v>50</v>
      </c>
      <c r="AT72" s="64"/>
      <c r="AU72" s="65" t="n">
        <f aca="false">IF(AT72="#",IF(NETWORKDAYS($F$14,$F$14,Holidays!AO:AO)&lt;1,-1,0),AS72+1)</f>
        <v>51</v>
      </c>
      <c r="AV72" s="64"/>
      <c r="AW72" s="65" t="n">
        <f aca="false">IF(AV72="#",IF(NETWORKDAYS($F$14,$F$14,Holidays!AQ:AQ)&lt;1,-1,0),AU72+1)</f>
        <v>52</v>
      </c>
      <c r="AX72" s="64"/>
      <c r="AY72" s="65" t="n">
        <f aca="false">IF(AX72="#",IF(NETWORKDAYS($F$14,$F$14,Holidays!AS:AS)&lt;1,-1,0),AW72+1)</f>
        <v>53</v>
      </c>
      <c r="AZ72" s="64"/>
      <c r="BA72" s="65" t="n">
        <f aca="false">IF(AZ72="#",IF(NETWORKDAYS($F$14,$F$14,Holidays!AU:AU)&lt;1,-1,0),AY72+1)</f>
        <v>54</v>
      </c>
      <c r="BB72" s="64"/>
      <c r="BC72" s="65" t="n">
        <f aca="false">IF(BB72="#",IF(NETWORKDAYS($F$14,$F$14,Holidays!AW:AW)&lt;1,-1,0),BA72+1)</f>
        <v>55</v>
      </c>
      <c r="BD72" s="64"/>
      <c r="BE72" s="65" t="n">
        <f aca="false">IF(BD72="#",IF(NETWORKDAYS($F$14,$F$14,Holidays!AY:AY)&lt;1,-1,0),BC72+1)</f>
        <v>56</v>
      </c>
      <c r="BF72" s="64"/>
      <c r="BG72" s="65" t="n">
        <f aca="false">IF(BF72="#",IF(NETWORKDAYS($F$14,$F$14,Holidays!BA:BA)&lt;1,-1,0),BE72+1)</f>
        <v>57</v>
      </c>
      <c r="BH72" s="64"/>
      <c r="BI72" s="65" t="n">
        <f aca="false">IF(BH72="#",IF(NETWORKDAYS($F$14,$F$14,Holidays!BC:BC)&lt;1,-1,0),BG72+1)</f>
        <v>58</v>
      </c>
      <c r="BJ72" s="64"/>
      <c r="BK72" s="65" t="n">
        <f aca="false">IF(BJ72="#",IF(NETWORKDAYS($F$14,$F$14,Holidays!BE:BE)&lt;1,-1,0),BI72+1)</f>
        <v>59</v>
      </c>
      <c r="BL72" s="64"/>
      <c r="BM72" s="65" t="n">
        <f aca="false">IF(BL72="#",IF(NETWORKDAYS($F$14,$F$14,Holidays!BG:BG)&lt;1,-1,0),BK72+1)</f>
        <v>60</v>
      </c>
      <c r="BN72" s="64"/>
      <c r="BO72" s="65" t="n">
        <f aca="false">IF(BN72="#",IF(NETWORKDAYS($F$14,$F$14,Holidays!BI:BI)&lt;1,-1,0),BM72+1)</f>
        <v>61</v>
      </c>
      <c r="BP72" s="64"/>
      <c r="BQ72" s="65" t="n">
        <f aca="false">IF(BP72="#",IF(NETWORKDAYS($F$14,$F$14,Holidays!BK:BK)&lt;1,-1,0),BO72+1)</f>
        <v>62</v>
      </c>
      <c r="BR72" s="13"/>
      <c r="BS72" s="14"/>
    </row>
    <row r="73" customFormat="false" ht="15" hidden="false" customHeight="false" outlineLevel="0" collapsed="false">
      <c r="B73" s="83"/>
      <c r="C73" s="84"/>
      <c r="D73" s="2"/>
      <c r="E73" s="84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85"/>
    </row>
    <row r="74" customFormat="false" ht="15" hidden="false" customHeight="false" outlineLevel="0" collapsed="false"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J74" s="84"/>
      <c r="BK74" s="84"/>
      <c r="BL74" s="84"/>
      <c r="BM74" s="84"/>
      <c r="BN74" s="84"/>
      <c r="BO74" s="84"/>
      <c r="BP74" s="84"/>
      <c r="BQ74" s="84"/>
    </row>
    <row r="75" customFormat="false" ht="14.25" hidden="false" customHeight="false" outlineLevel="0" collapsed="false">
      <c r="B75" s="86" t="s">
        <v>35</v>
      </c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  <c r="AX75" s="87"/>
      <c r="AY75" s="87"/>
      <c r="AZ75" s="87"/>
      <c r="BA75" s="87"/>
      <c r="BB75" s="4"/>
      <c r="BC75" s="4"/>
      <c r="BD75" s="4"/>
      <c r="BE75" s="4"/>
      <c r="BF75" s="4"/>
      <c r="BG75" s="4"/>
      <c r="BH75" s="4"/>
      <c r="BI75" s="4"/>
      <c r="BJ75" s="13"/>
      <c r="BK75" s="13"/>
      <c r="BL75" s="13"/>
      <c r="BM75" s="13"/>
      <c r="BN75" s="13"/>
      <c r="BO75" s="13"/>
      <c r="BR75" s="4"/>
      <c r="BS75" s="5"/>
    </row>
    <row r="76" customFormat="false" ht="15" hidden="false" customHeight="true" outlineLevel="0" collapsed="false">
      <c r="B76" s="88" t="s">
        <v>36</v>
      </c>
      <c r="C76" s="88"/>
      <c r="D76" s="88"/>
      <c r="E76" s="88"/>
      <c r="F76" s="88"/>
      <c r="G76" s="89"/>
      <c r="H76" s="8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R76" s="13"/>
      <c r="BS76" s="14"/>
    </row>
    <row r="77" customFormat="false" ht="14.25" hidden="false" customHeight="false" outlineLevel="0" collapsed="false">
      <c r="B77" s="88"/>
      <c r="C77" s="88"/>
      <c r="D77" s="88"/>
      <c r="E77" s="88"/>
      <c r="F77" s="88"/>
      <c r="G77" s="89"/>
      <c r="H77" s="8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R77" s="13"/>
      <c r="BS77" s="14"/>
    </row>
    <row r="78" customFormat="false" ht="14.25" hidden="false" customHeight="false" outlineLevel="0" collapsed="false">
      <c r="B78" s="88"/>
      <c r="C78" s="88"/>
      <c r="D78" s="88"/>
      <c r="E78" s="88"/>
      <c r="F78" s="88"/>
      <c r="G78" s="89"/>
      <c r="H78" s="8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E78" s="89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R78" s="13"/>
      <c r="BS78" s="14"/>
    </row>
    <row r="79" customFormat="false" ht="14.25" hidden="false" customHeight="false" outlineLevel="0" collapsed="false">
      <c r="B79" s="88"/>
      <c r="C79" s="88"/>
      <c r="D79" s="88"/>
      <c r="E79" s="88"/>
      <c r="F79" s="88"/>
      <c r="G79" s="89"/>
      <c r="H79" s="8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89"/>
      <c r="AC79" s="89"/>
      <c r="AD79" s="89"/>
      <c r="AE79" s="89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R79" s="13"/>
      <c r="BS79" s="14"/>
    </row>
    <row r="80" customFormat="false" ht="14.25" hidden="false" customHeight="false" outlineLevel="0" collapsed="false">
      <c r="B80" s="88"/>
      <c r="C80" s="88"/>
      <c r="D80" s="88"/>
      <c r="E80" s="88"/>
      <c r="F80" s="88"/>
      <c r="G80" s="89"/>
      <c r="H80" s="8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R80" s="13"/>
      <c r="BS80" s="14"/>
    </row>
    <row r="81" customFormat="false" ht="14.25" hidden="false" customHeight="false" outlineLevel="0" collapsed="false">
      <c r="B81" s="88"/>
      <c r="C81" s="88"/>
      <c r="D81" s="88"/>
      <c r="E81" s="88"/>
      <c r="F81" s="88"/>
      <c r="G81" s="89"/>
      <c r="H81" s="89"/>
      <c r="I81" s="89"/>
      <c r="J81" s="89"/>
      <c r="K81" s="89"/>
      <c r="L81" s="89"/>
      <c r="M81" s="89"/>
      <c r="N81" s="89"/>
      <c r="O81" s="89"/>
      <c r="P81" s="89"/>
      <c r="Q81" s="89"/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R81" s="13"/>
      <c r="BS81" s="14"/>
    </row>
    <row r="82" customFormat="false" ht="14.25" hidden="false" customHeight="false" outlineLevel="0" collapsed="false">
      <c r="B82" s="88"/>
      <c r="C82" s="88"/>
      <c r="D82" s="88"/>
      <c r="E82" s="88"/>
      <c r="F82" s="88"/>
      <c r="G82" s="89"/>
      <c r="H82" s="89"/>
      <c r="I82" s="89"/>
      <c r="J82" s="89"/>
      <c r="K82" s="89"/>
      <c r="L82" s="89"/>
      <c r="M82" s="89"/>
      <c r="N82" s="89"/>
      <c r="O82" s="89"/>
      <c r="P82" s="89"/>
      <c r="Q82" s="89"/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89"/>
      <c r="AC82" s="89"/>
      <c r="AD82" s="89"/>
      <c r="AE82" s="89"/>
      <c r="AF82" s="89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R82" s="13"/>
      <c r="BS82" s="14"/>
    </row>
    <row r="83" customFormat="false" ht="14.25" hidden="false" customHeight="false" outlineLevel="0" collapsed="false">
      <c r="B83" s="88"/>
      <c r="C83" s="88"/>
      <c r="D83" s="88"/>
      <c r="E83" s="88"/>
      <c r="F83" s="88"/>
      <c r="G83" s="89"/>
      <c r="H83" s="89"/>
      <c r="I83" s="89"/>
      <c r="J83" s="89"/>
      <c r="K83" s="89"/>
      <c r="L83" s="89"/>
      <c r="M83" s="89"/>
      <c r="N83" s="89"/>
      <c r="O83" s="89"/>
      <c r="P83" s="89"/>
      <c r="Q83" s="89"/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89"/>
      <c r="AC83" s="89"/>
      <c r="AD83" s="89"/>
      <c r="AE83" s="89"/>
      <c r="AF83" s="89"/>
      <c r="AG83" s="89"/>
      <c r="AH83" s="89"/>
      <c r="AI83" s="89"/>
      <c r="AJ83" s="89"/>
      <c r="AK83" s="89"/>
      <c r="AL83" s="89"/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R83" s="13"/>
      <c r="BS83" s="14"/>
    </row>
    <row r="84" customFormat="false" ht="14.25" hidden="false" customHeight="false" outlineLevel="0" collapsed="false">
      <c r="B84" s="88"/>
      <c r="C84" s="88"/>
      <c r="D84" s="88"/>
      <c r="E84" s="88"/>
      <c r="F84" s="88"/>
      <c r="G84" s="89"/>
      <c r="H84" s="89"/>
      <c r="I84" s="89"/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T84" s="89"/>
      <c r="AU84" s="89"/>
      <c r="AV84" s="89"/>
      <c r="AW84" s="89"/>
      <c r="AX84" s="89"/>
      <c r="AY84" s="89"/>
      <c r="AZ84" s="89"/>
      <c r="BA84" s="89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R84" s="13"/>
      <c r="BS84" s="14"/>
    </row>
    <row r="85" customFormat="false" ht="14.25" hidden="false" customHeight="false" outlineLevel="0" collapsed="false">
      <c r="B85" s="88"/>
      <c r="C85" s="88"/>
      <c r="D85" s="88"/>
      <c r="E85" s="88"/>
      <c r="F85" s="88"/>
      <c r="G85" s="89"/>
      <c r="H85" s="89"/>
      <c r="I85" s="89"/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9"/>
      <c r="AW85" s="89"/>
      <c r="AX85" s="89"/>
      <c r="AY85" s="89"/>
      <c r="AZ85" s="89"/>
      <c r="BA85" s="89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R85" s="13"/>
      <c r="BS85" s="14"/>
    </row>
    <row r="86" customFormat="false" ht="15" hidden="false" customHeight="false" outlineLevel="0" collapsed="false">
      <c r="B86" s="88"/>
      <c r="C86" s="88"/>
      <c r="D86" s="88"/>
      <c r="E86" s="88"/>
      <c r="F86" s="88"/>
      <c r="G86" s="90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85"/>
    </row>
    <row r="89" customFormat="false" ht="14.25" hidden="false" customHeight="false" outlineLevel="0" collapsed="false">
      <c r="BM89" s="91"/>
    </row>
    <row r="96" customFormat="false" ht="14.25" hidden="false" customHeight="false" outlineLevel="0" collapsed="false">
      <c r="V96" s="92"/>
      <c r="W96" s="92"/>
    </row>
  </sheetData>
  <mergeCells count="254">
    <mergeCell ref="F5:G5"/>
    <mergeCell ref="H5:I5"/>
    <mergeCell ref="J5:K5"/>
    <mergeCell ref="L5:M5"/>
    <mergeCell ref="N5:O5"/>
    <mergeCell ref="P5:Q5"/>
    <mergeCell ref="R5:S5"/>
    <mergeCell ref="T5:U5"/>
    <mergeCell ref="V5:W5"/>
    <mergeCell ref="X5:Y5"/>
    <mergeCell ref="Z5:AA5"/>
    <mergeCell ref="AB5:AC5"/>
    <mergeCell ref="AD5:AE5"/>
    <mergeCell ref="AF5:AG5"/>
    <mergeCell ref="AH5:AI5"/>
    <mergeCell ref="AJ5:AK5"/>
    <mergeCell ref="AL5:AM5"/>
    <mergeCell ref="AN5:AO5"/>
    <mergeCell ref="AP5:AQ5"/>
    <mergeCell ref="AR5:AS5"/>
    <mergeCell ref="AT5:AU5"/>
    <mergeCell ref="AV5:AW5"/>
    <mergeCell ref="AX5:AY5"/>
    <mergeCell ref="AZ5:BA5"/>
    <mergeCell ref="BB5:BC5"/>
    <mergeCell ref="BD5:BE5"/>
    <mergeCell ref="BF5:BG5"/>
    <mergeCell ref="BH5:BI5"/>
    <mergeCell ref="BJ5:BK5"/>
    <mergeCell ref="BL5:BM5"/>
    <mergeCell ref="BN5:BO5"/>
    <mergeCell ref="BP5:BQ5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AH6:AI6"/>
    <mergeCell ref="AJ6:AK6"/>
    <mergeCell ref="AL6:AM6"/>
    <mergeCell ref="AN6:AO6"/>
    <mergeCell ref="AP6:AQ6"/>
    <mergeCell ref="AR6:AS6"/>
    <mergeCell ref="AT6:AU6"/>
    <mergeCell ref="AV6:AW6"/>
    <mergeCell ref="AX6:AY6"/>
    <mergeCell ref="AZ6:BA6"/>
    <mergeCell ref="BB6:BC6"/>
    <mergeCell ref="BD6:BE6"/>
    <mergeCell ref="BF6:BG6"/>
    <mergeCell ref="BH6:BI6"/>
    <mergeCell ref="BJ6:BK6"/>
    <mergeCell ref="BL6:BM6"/>
    <mergeCell ref="BN6:BO6"/>
    <mergeCell ref="BP6:BQ6"/>
    <mergeCell ref="F7:G7"/>
    <mergeCell ref="H7:I7"/>
    <mergeCell ref="J7:K7"/>
    <mergeCell ref="L7:M7"/>
    <mergeCell ref="N7:O7"/>
    <mergeCell ref="P7:Q7"/>
    <mergeCell ref="R7:S7"/>
    <mergeCell ref="T7:U7"/>
    <mergeCell ref="V7:W7"/>
    <mergeCell ref="X7:Y7"/>
    <mergeCell ref="Z7:AA7"/>
    <mergeCell ref="AB7:AC7"/>
    <mergeCell ref="AD7:AE7"/>
    <mergeCell ref="AF7:AG7"/>
    <mergeCell ref="AH7:AI7"/>
    <mergeCell ref="AJ7:AK7"/>
    <mergeCell ref="AL7:AM7"/>
    <mergeCell ref="AN7:AO7"/>
    <mergeCell ref="AP7:AQ7"/>
    <mergeCell ref="AR7:AS7"/>
    <mergeCell ref="AT7:AU7"/>
    <mergeCell ref="AV7:AW7"/>
    <mergeCell ref="AX7:AY7"/>
    <mergeCell ref="AZ7:BA7"/>
    <mergeCell ref="BB7:BC7"/>
    <mergeCell ref="BD7:BE7"/>
    <mergeCell ref="BF7:BG7"/>
    <mergeCell ref="BH7:BI7"/>
    <mergeCell ref="BJ7:BK7"/>
    <mergeCell ref="BL7:BM7"/>
    <mergeCell ref="BN7:BO7"/>
    <mergeCell ref="BP7:BQ7"/>
    <mergeCell ref="F8:G8"/>
    <mergeCell ref="H8:I8"/>
    <mergeCell ref="J8:K8"/>
    <mergeCell ref="L8:M8"/>
    <mergeCell ref="N8:O8"/>
    <mergeCell ref="P8:Q8"/>
    <mergeCell ref="R8:S8"/>
    <mergeCell ref="T8:U8"/>
    <mergeCell ref="V8:W8"/>
    <mergeCell ref="X8:Y8"/>
    <mergeCell ref="Z8:AA8"/>
    <mergeCell ref="AB8:AC8"/>
    <mergeCell ref="AD8:AE8"/>
    <mergeCell ref="AF8:AG8"/>
    <mergeCell ref="AH8:AI8"/>
    <mergeCell ref="AJ8:AK8"/>
    <mergeCell ref="AL8:AM8"/>
    <mergeCell ref="AN8:AO8"/>
    <mergeCell ref="AP8:AQ8"/>
    <mergeCell ref="AR8:AS8"/>
    <mergeCell ref="AT8:AU8"/>
    <mergeCell ref="AV8:AW8"/>
    <mergeCell ref="AX8:AY8"/>
    <mergeCell ref="AZ8:BA8"/>
    <mergeCell ref="BB8:BC8"/>
    <mergeCell ref="BD8:BE8"/>
    <mergeCell ref="BF8:BG8"/>
    <mergeCell ref="BH8:BI8"/>
    <mergeCell ref="BJ8:BK8"/>
    <mergeCell ref="BL8:BM8"/>
    <mergeCell ref="BN8:BO8"/>
    <mergeCell ref="BP8:BQ8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X9:Y9"/>
    <mergeCell ref="Z9:AA9"/>
    <mergeCell ref="AB9:AC9"/>
    <mergeCell ref="AD9:AE9"/>
    <mergeCell ref="AF9:AG9"/>
    <mergeCell ref="AH9:AI9"/>
    <mergeCell ref="AJ9:AK9"/>
    <mergeCell ref="AL9:AM9"/>
    <mergeCell ref="AN9:AO9"/>
    <mergeCell ref="AP9:AQ9"/>
    <mergeCell ref="AR9:AS9"/>
    <mergeCell ref="AT9:AU9"/>
    <mergeCell ref="AV9:AW9"/>
    <mergeCell ref="AX9:AY9"/>
    <mergeCell ref="AZ9:BA9"/>
    <mergeCell ref="BB9:BC9"/>
    <mergeCell ref="BD9:BE9"/>
    <mergeCell ref="BF9:BG9"/>
    <mergeCell ref="BH9:BI9"/>
    <mergeCell ref="BJ9:BK9"/>
    <mergeCell ref="BL9:BM9"/>
    <mergeCell ref="BN9:BO9"/>
    <mergeCell ref="BP9:BQ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Z10:AA10"/>
    <mergeCell ref="AB10:AC10"/>
    <mergeCell ref="AD10:AE10"/>
    <mergeCell ref="AF10:AG10"/>
    <mergeCell ref="AH10:AI10"/>
    <mergeCell ref="AJ10:AK10"/>
    <mergeCell ref="AL10:AM10"/>
    <mergeCell ref="AN10:AO10"/>
    <mergeCell ref="AP10:AQ10"/>
    <mergeCell ref="AR10:AS10"/>
    <mergeCell ref="AT10:AU10"/>
    <mergeCell ref="AV10:AW10"/>
    <mergeCell ref="AX10:AY10"/>
    <mergeCell ref="AZ10:BA10"/>
    <mergeCell ref="BB10:BC10"/>
    <mergeCell ref="BD10:BE10"/>
    <mergeCell ref="BF10:BG10"/>
    <mergeCell ref="BH10:BI10"/>
    <mergeCell ref="BJ10:BK10"/>
    <mergeCell ref="BL10:BM10"/>
    <mergeCell ref="BN10:BO10"/>
    <mergeCell ref="BP10:BQ10"/>
    <mergeCell ref="C11:E12"/>
    <mergeCell ref="F11:U11"/>
    <mergeCell ref="V11:AS11"/>
    <mergeCell ref="AT11:BE11"/>
    <mergeCell ref="BF11:BQ11"/>
    <mergeCell ref="F12:U12"/>
    <mergeCell ref="V12:AS12"/>
    <mergeCell ref="AT12:BE12"/>
    <mergeCell ref="BF12:BQ12"/>
    <mergeCell ref="C13:C14"/>
    <mergeCell ref="D13:D14"/>
    <mergeCell ref="F13:G13"/>
    <mergeCell ref="AJ13:AK13"/>
    <mergeCell ref="AL13:AM13"/>
    <mergeCell ref="AN13:AO13"/>
    <mergeCell ref="AP13:AQ13"/>
    <mergeCell ref="AR13:AS13"/>
    <mergeCell ref="AT13:AU13"/>
    <mergeCell ref="AV13:AW13"/>
    <mergeCell ref="AX13:AY13"/>
    <mergeCell ref="AZ13:BA13"/>
    <mergeCell ref="BB13:BC13"/>
    <mergeCell ref="BD13:BE13"/>
    <mergeCell ref="BF13:BG13"/>
    <mergeCell ref="BH13:BI13"/>
    <mergeCell ref="BJ13:BK13"/>
    <mergeCell ref="BL13:BM13"/>
    <mergeCell ref="BN13:BO13"/>
    <mergeCell ref="BP13:BQ13"/>
    <mergeCell ref="F14:G14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Z14:AA14"/>
    <mergeCell ref="AB14:AC14"/>
    <mergeCell ref="AD14:AE14"/>
    <mergeCell ref="AF14:AG14"/>
    <mergeCell ref="AH14:AI14"/>
    <mergeCell ref="AJ14:AK14"/>
    <mergeCell ref="AL14:AM14"/>
    <mergeCell ref="AN14:AO14"/>
    <mergeCell ref="AP14:AQ14"/>
    <mergeCell ref="AR14:AS14"/>
    <mergeCell ref="AT14:AU14"/>
    <mergeCell ref="AV14:AW14"/>
    <mergeCell ref="AX14:AY14"/>
    <mergeCell ref="AZ14:BA14"/>
    <mergeCell ref="BB14:BC14"/>
    <mergeCell ref="BD14:BE14"/>
    <mergeCell ref="BF14:BG14"/>
    <mergeCell ref="BH14:BI14"/>
    <mergeCell ref="BJ14:BK14"/>
    <mergeCell ref="BL14:BM14"/>
    <mergeCell ref="BN14:BO14"/>
    <mergeCell ref="BP14:BQ14"/>
    <mergeCell ref="B76:F86"/>
  </mergeCells>
  <conditionalFormatting sqref="AN13:BQ13">
    <cfRule type="expression" priority="2" aboveAverage="0" equalAverage="0" bottom="0" percent="0" rank="0" text="" dxfId="0">
      <formula>LEN(TRIM(AN13))&gt;0</formula>
    </cfRule>
  </conditionalFormatting>
  <conditionalFormatting sqref="F15:BQ72">
    <cfRule type="cellIs" priority="3" operator="equal" aboveAverage="0" equalAverage="0" bottom="0" percent="0" rank="0" text="" dxfId="1">
      <formula>"AI"</formula>
    </cfRule>
    <cfRule type="containsText" priority="4" operator="containsText" aboveAverage="0" equalAverage="0" bottom="0" percent="0" rank="0" text="PI" dxfId="2">
      <formula>NOT(ISERROR(SEARCH("PI",F15)))</formula>
    </cfRule>
    <cfRule type="cellIs" priority="5" operator="equal" aboveAverage="0" equalAverage="0" bottom="0" percent="0" rank="0" text="" dxfId="3">
      <formula>"A"</formula>
    </cfRule>
    <cfRule type="cellIs" priority="6" operator="equal" aboveAverage="0" equalAverage="0" bottom="0" percent="0" rank="0" text="" dxfId="4">
      <formula>"T"</formula>
    </cfRule>
    <cfRule type="cellIs" priority="7" operator="equal" aboveAverage="0" equalAverage="0" bottom="0" percent="0" rank="0" text="" dxfId="5">
      <formula>"#"</formula>
    </cfRule>
    <cfRule type="cellIs" priority="8" operator="equal" aboveAverage="0" equalAverage="0" bottom="0" percent="0" rank="0" text="" dxfId="6">
      <formula>"D"</formula>
    </cfRule>
    <cfRule type="expression" priority="9" aboveAverage="0" equalAverage="0" bottom="0" percent="0" rank="0" text="" dxfId="7">
      <formula>ISNUMBER(F15)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01E92BE-437D-4C4D-B791-B0B8D6267BC4}">
            <xm:f>NETWORKDAYS(F14,F14,Holidays!$A$3:$A$25)&lt;1</xm:f>
            <x14:dxf>
              <fill>
                <patternFill>
                  <bgColor rgb="FFFFC000"/>
                </patternFill>
              </fill>
            </x14:dxf>
          </x14:cfRule>
          <xm:sqref>F14 H14</xm:sqref>
        </x14:conditionalFormatting>
        <x14:conditionalFormatting xmlns:xm="http://schemas.microsoft.com/office/excel/2006/main">
          <x14:cfRule type="expression" priority="11" id="{C8B4E3CD-F54B-4CE4-88C2-FC25A05C7EEB}">
            <xm:f>NETWORKDAYS(J14,J14,Holidays!$A$3:$A$25)&lt;1</xm:f>
            <x14:dxf>
              <fill>
                <patternFill>
                  <bgColor rgb="FFFFC000"/>
                </patternFill>
              </fill>
            </x14:dxf>
          </x14:cfRule>
          <xm:sqref>J14 N14 R14 V14 Z14 AD14 AH14 AL14 AP14 AT14 AX14 BB14 BF14 BJ14 BN14 L14 P14 T14 X14 AB14 AF14 AJ14 AN14 AR14 AV14 AZ14 BD14 BH14 BL14 BP14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5"/>
  <sheetViews>
    <sheetView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26" activeCellId="0" sqref="A2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93" width="30.67"/>
    <col collapsed="false" customWidth="true" hidden="false" outlineLevel="0" max="2" min="2" style="93" width="23.33"/>
    <col collapsed="false" customWidth="true" hidden="false" outlineLevel="0" max="3" min="3" style="93" width="18"/>
  </cols>
  <sheetData>
    <row r="1" customFormat="false" ht="12.8" hidden="false" customHeight="false" outlineLevel="0" collapsed="false">
      <c r="A1" s="94" t="s">
        <v>37</v>
      </c>
      <c r="B1" s="94"/>
      <c r="C1" s="94"/>
    </row>
    <row r="2" customFormat="false" ht="13.8" hidden="false" customHeight="false" outlineLevel="0" collapsed="false">
      <c r="A2" s="95" t="s">
        <v>38</v>
      </c>
      <c r="B2" s="95" t="s">
        <v>39</v>
      </c>
      <c r="C2" s="93" t="s">
        <v>40</v>
      </c>
    </row>
    <row r="3" customFormat="false" ht="13.8" hidden="false" customHeight="false" outlineLevel="0" collapsed="false">
      <c r="A3" s="96" t="n">
        <v>44803</v>
      </c>
      <c r="B3" s="97" t="s">
        <v>41</v>
      </c>
      <c r="C3" s="98" t="s">
        <v>42</v>
      </c>
    </row>
    <row r="4" customFormat="false" ht="13.8" hidden="false" customHeight="false" outlineLevel="0" collapsed="false">
      <c r="A4" s="96" t="n">
        <v>44806</v>
      </c>
      <c r="B4" s="99" t="s">
        <v>41</v>
      </c>
      <c r="C4" s="100" t="s">
        <v>43</v>
      </c>
    </row>
    <row r="5" customFormat="false" ht="13.8" hidden="false" customHeight="false" outlineLevel="0" collapsed="false">
      <c r="A5" s="96" t="n">
        <v>44848</v>
      </c>
      <c r="B5" s="99" t="s">
        <v>44</v>
      </c>
      <c r="C5" s="100" t="s">
        <v>43</v>
      </c>
    </row>
    <row r="6" customFormat="false" ht="13.8" hidden="false" customHeight="false" outlineLevel="0" collapsed="false">
      <c r="A6" s="96" t="n">
        <v>44849</v>
      </c>
      <c r="B6" s="97" t="s">
        <v>44</v>
      </c>
      <c r="C6" s="98" t="s">
        <v>42</v>
      </c>
    </row>
    <row r="7" customFormat="false" ht="13.8" hidden="false" customHeight="false" outlineLevel="0" collapsed="false">
      <c r="A7" s="96" t="n">
        <v>44873</v>
      </c>
      <c r="B7" s="97" t="s">
        <v>45</v>
      </c>
      <c r="C7" s="98" t="s">
        <v>42</v>
      </c>
    </row>
    <row r="8" customFormat="false" ht="13.8" hidden="false" customHeight="false" outlineLevel="0" collapsed="false">
      <c r="A8" s="96" t="n">
        <v>44876</v>
      </c>
      <c r="B8" s="99" t="s">
        <v>45</v>
      </c>
      <c r="C8" s="100" t="s">
        <v>43</v>
      </c>
    </row>
    <row r="9" customFormat="false" ht="13.8" hidden="false" customHeight="false" outlineLevel="0" collapsed="false">
      <c r="A9" s="96" t="n">
        <v>44893</v>
      </c>
      <c r="B9" s="99" t="s">
        <v>46</v>
      </c>
      <c r="C9" s="100" t="s">
        <v>43</v>
      </c>
    </row>
    <row r="10" customFormat="false" ht="13.8" hidden="false" customHeight="false" outlineLevel="0" collapsed="false">
      <c r="A10" s="96" t="n">
        <v>44894</v>
      </c>
      <c r="B10" s="97" t="s">
        <v>46</v>
      </c>
      <c r="C10" s="98" t="s">
        <v>42</v>
      </c>
    </row>
    <row r="11" customFormat="false" ht="13.8" hidden="false" customHeight="false" outlineLevel="0" collapsed="false">
      <c r="A11" s="96" t="n">
        <v>44919</v>
      </c>
      <c r="B11" s="97" t="s">
        <v>47</v>
      </c>
      <c r="C11" s="98" t="s">
        <v>42</v>
      </c>
    </row>
    <row r="12" customFormat="false" ht="13.8" hidden="false" customHeight="false" outlineLevel="0" collapsed="false">
      <c r="A12" s="96" t="n">
        <v>44920</v>
      </c>
      <c r="B12" s="99" t="s">
        <v>47</v>
      </c>
      <c r="C12" s="100" t="s">
        <v>43</v>
      </c>
    </row>
    <row r="13" customFormat="false" ht="13.8" hidden="false" customHeight="false" outlineLevel="0" collapsed="false">
      <c r="A13" s="96" t="n">
        <v>44926</v>
      </c>
      <c r="B13" s="99" t="s">
        <v>48</v>
      </c>
      <c r="C13" s="100" t="s">
        <v>43</v>
      </c>
    </row>
    <row r="14" customFormat="false" ht="13.8" hidden="false" customHeight="false" outlineLevel="0" collapsed="false">
      <c r="A14" s="96" t="n">
        <v>44927</v>
      </c>
      <c r="B14" s="97" t="s">
        <v>48</v>
      </c>
      <c r="C14" s="98" t="s">
        <v>42</v>
      </c>
    </row>
    <row r="15" customFormat="false" ht="13.8" hidden="false" customHeight="false" outlineLevel="0" collapsed="false">
      <c r="A15" s="96" t="n">
        <v>44943</v>
      </c>
      <c r="B15" s="99" t="s">
        <v>49</v>
      </c>
      <c r="C15" s="100" t="s">
        <v>43</v>
      </c>
    </row>
    <row r="16" customFormat="false" ht="13.8" hidden="false" customHeight="false" outlineLevel="0" collapsed="false">
      <c r="A16" s="96" t="n">
        <v>44946</v>
      </c>
      <c r="B16" s="97" t="s">
        <v>49</v>
      </c>
      <c r="C16" s="98" t="s">
        <v>42</v>
      </c>
    </row>
    <row r="17" customFormat="false" ht="13.8" hidden="false" customHeight="false" outlineLevel="0" collapsed="false">
      <c r="A17" s="96" t="n">
        <v>44971</v>
      </c>
      <c r="B17" s="99" t="s">
        <v>50</v>
      </c>
      <c r="C17" s="100" t="s">
        <v>43</v>
      </c>
    </row>
    <row r="18" customFormat="false" ht="13.8" hidden="false" customHeight="false" outlineLevel="0" collapsed="false">
      <c r="A18" s="96" t="n">
        <v>44974</v>
      </c>
      <c r="B18" s="97" t="s">
        <v>50</v>
      </c>
      <c r="C18" s="98" t="s">
        <v>42</v>
      </c>
    </row>
    <row r="19" customFormat="false" ht="13.8" hidden="false" customHeight="false" outlineLevel="0" collapsed="false">
      <c r="A19" s="96" t="n">
        <v>45029</v>
      </c>
      <c r="B19" s="97" t="s">
        <v>51</v>
      </c>
      <c r="C19" s="98" t="s">
        <v>42</v>
      </c>
    </row>
    <row r="20" customFormat="false" ht="13.8" hidden="false" customHeight="false" outlineLevel="0" collapsed="false">
      <c r="A20" s="96" t="n">
        <v>45068</v>
      </c>
      <c r="B20" s="99" t="s">
        <v>52</v>
      </c>
      <c r="C20" s="100" t="s">
        <v>43</v>
      </c>
    </row>
    <row r="21" customFormat="false" ht="13.8" hidden="false" customHeight="false" outlineLevel="0" collapsed="false">
      <c r="A21" s="96" t="n">
        <v>45071</v>
      </c>
      <c r="B21" s="97" t="s">
        <v>52</v>
      </c>
      <c r="C21" s="98" t="s">
        <v>42</v>
      </c>
    </row>
    <row r="22" customFormat="false" ht="13.8" hidden="false" customHeight="false" outlineLevel="0" collapsed="false">
      <c r="A22" s="96" t="n">
        <v>45110</v>
      </c>
      <c r="B22" s="99" t="s">
        <v>53</v>
      </c>
      <c r="C22" s="100" t="s">
        <v>43</v>
      </c>
    </row>
    <row r="23" customFormat="false" ht="13.8" hidden="false" customHeight="false" outlineLevel="0" collapsed="false">
      <c r="A23" s="96" t="n">
        <v>45113</v>
      </c>
      <c r="B23" s="97" t="s">
        <v>53</v>
      </c>
      <c r="C23" s="98" t="s">
        <v>42</v>
      </c>
    </row>
    <row r="24" customFormat="false" ht="13.8" hidden="false" customHeight="false" outlineLevel="0" collapsed="false">
      <c r="A24" s="96" t="n">
        <v>45173</v>
      </c>
      <c r="B24" s="99" t="s">
        <v>41</v>
      </c>
      <c r="C24" s="100" t="s">
        <v>43</v>
      </c>
    </row>
    <row r="25" customFormat="false" ht="13.8" hidden="false" customHeight="false" outlineLevel="0" collapsed="false">
      <c r="A25" s="96" t="n">
        <v>45176</v>
      </c>
      <c r="B25" s="97" t="s">
        <v>41</v>
      </c>
      <c r="C25" s="98" t="s">
        <v>42</v>
      </c>
    </row>
  </sheetData>
  <mergeCells count="1">
    <mergeCell ref="A1:C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</TotalTime>
  <Application>LibreOffice/7.4.2.3$Linux_X86_64 LibreOffice_project/40$Build-3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2022-11-22T12:19:25Z</dcterms:created>
  <dc:creator/>
  <dc:description/>
  <dc:language>en-US</dc:language>
  <cp:lastModifiedBy/>
  <dcterms:modified xsi:type="dcterms:W3CDTF">2022-11-28T11:43:36Z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